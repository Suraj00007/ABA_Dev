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motivemindscom-my.sharepoint.com/personal/suraj_od_motiveminds_com/Documents/Desktop/ABA Report/ABA_Dev/"/>
    </mc:Choice>
  </mc:AlternateContent>
  <xr:revisionPtr revIDLastSave="6" documentId="11_F2122A42694373D4605C461400D3A0002B0A6F3A" xr6:coauthVersionLast="47" xr6:coauthVersionMax="47" xr10:uidLastSave="{A8431EDC-E174-4109-B602-625A842AA43D}"/>
  <bookViews>
    <workbookView xWindow="-110" yWindow="-110" windowWidth="19420" windowHeight="10300" firstSheet="2" activeTab="1" xr2:uid="{00000000-000D-0000-FFFF-FFFF00000000}"/>
  </bookViews>
  <sheets>
    <sheet name="Overview" sheetId="1" r:id="rId1"/>
    <sheet name="Report Catalog" sheetId="2" r:id="rId2"/>
    <sheet name="Report Filters" sheetId="3" r:id="rId3"/>
    <sheet name="Report Fields" sheetId="4" r:id="rId4"/>
    <sheet name="Field Usage Matrix" sheetId="5" r:id="rId5"/>
    <sheet name="Dashboards" sheetId="6" r:id="rId6"/>
    <sheet name="Dashboard Components" sheetId="7" r:id="rId7"/>
    <sheet name="Home Page" sheetId="8" r:id="rId8"/>
    <sheet name="Opportunity Data" sheetId="9" r:id="rId9"/>
    <sheet name="Report Results" sheetId="10" r:id="rId10"/>
    <sheet name="Folders &amp; Access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0" l="1"/>
  <c r="F21" i="10"/>
  <c r="D21" i="10"/>
  <c r="C21" i="10"/>
  <c r="L21" i="10" s="1"/>
  <c r="G20" i="10"/>
  <c r="H20" i="10" s="1"/>
  <c r="F20" i="10"/>
  <c r="D20" i="10"/>
  <c r="C20" i="10"/>
  <c r="L20" i="10" s="1"/>
  <c r="G19" i="10"/>
  <c r="F19" i="10"/>
  <c r="D19" i="10"/>
  <c r="C19" i="10"/>
  <c r="L19" i="10" s="1"/>
  <c r="G18" i="10"/>
  <c r="H18" i="10" s="1"/>
  <c r="F18" i="10"/>
  <c r="D18" i="10"/>
  <c r="V17" i="7" s="1"/>
  <c r="C18" i="10"/>
  <c r="L18" i="10" s="1"/>
  <c r="G17" i="10"/>
  <c r="F17" i="10"/>
  <c r="D17" i="10"/>
  <c r="C17" i="10"/>
  <c r="L17" i="10" s="1"/>
  <c r="L16" i="10"/>
  <c r="I16" i="10"/>
  <c r="G16" i="10"/>
  <c r="H16" i="10" s="1"/>
  <c r="F16" i="10"/>
  <c r="D16" i="10"/>
  <c r="C16" i="10"/>
  <c r="G15" i="10"/>
  <c r="H15" i="10" s="1"/>
  <c r="F15" i="10"/>
  <c r="D15" i="10"/>
  <c r="C15" i="10"/>
  <c r="L15" i="10" s="1"/>
  <c r="G14" i="10"/>
  <c r="H14" i="10" s="1"/>
  <c r="F14" i="10"/>
  <c r="D14" i="10"/>
  <c r="C14" i="10"/>
  <c r="L14" i="10" s="1"/>
  <c r="G13" i="10"/>
  <c r="H13" i="10" s="1"/>
  <c r="F13" i="10"/>
  <c r="D13" i="10"/>
  <c r="C13" i="10"/>
  <c r="L13" i="10" s="1"/>
  <c r="G12" i="10"/>
  <c r="F12" i="10"/>
  <c r="D12" i="10"/>
  <c r="V14" i="7" s="1"/>
  <c r="C12" i="10"/>
  <c r="I12" i="10" s="1"/>
  <c r="I11" i="10"/>
  <c r="G11" i="10"/>
  <c r="H11" i="10" s="1"/>
  <c r="F11" i="10"/>
  <c r="D11" i="10"/>
  <c r="C11" i="10"/>
  <c r="L11" i="10" s="1"/>
  <c r="G10" i="10"/>
  <c r="F10" i="10"/>
  <c r="D10" i="10"/>
  <c r="C10" i="10"/>
  <c r="L10" i="10" s="1"/>
  <c r="G9" i="10"/>
  <c r="F9" i="10"/>
  <c r="D9" i="10"/>
  <c r="V11" i="7" s="1"/>
  <c r="C9" i="10"/>
  <c r="L9" i="10" s="1"/>
  <c r="L8" i="10"/>
  <c r="G8" i="10"/>
  <c r="H8" i="10" s="1"/>
  <c r="F8" i="10"/>
  <c r="D8" i="10"/>
  <c r="V12" i="7" s="1"/>
  <c r="C8" i="10"/>
  <c r="I8" i="10" s="1"/>
  <c r="G7" i="10"/>
  <c r="H7" i="10" s="1"/>
  <c r="F7" i="10"/>
  <c r="D7" i="10"/>
  <c r="C7" i="10"/>
  <c r="L7" i="10" s="1"/>
  <c r="G6" i="10"/>
  <c r="H6" i="10" s="1"/>
  <c r="F6" i="10"/>
  <c r="D6" i="10"/>
  <c r="V5" i="7" s="1"/>
  <c r="C6" i="10"/>
  <c r="L6" i="10" s="1"/>
  <c r="G5" i="10"/>
  <c r="F5" i="10"/>
  <c r="D5" i="10"/>
  <c r="C5" i="10"/>
  <c r="L5" i="10" s="1"/>
  <c r="G4" i="10"/>
  <c r="F4" i="10"/>
  <c r="D4" i="10"/>
  <c r="V3" i="7" s="1"/>
  <c r="C4" i="10"/>
  <c r="I4" i="10" s="1"/>
  <c r="G3" i="10"/>
  <c r="H3" i="10" s="1"/>
  <c r="F3" i="10"/>
  <c r="D3" i="10"/>
  <c r="V2" i="7" s="1"/>
  <c r="C3" i="10"/>
  <c r="L3" i="10" s="1"/>
  <c r="G2" i="10"/>
  <c r="F2" i="10"/>
  <c r="D2" i="10"/>
  <c r="V4" i="7" s="1"/>
  <c r="C2" i="10"/>
  <c r="L2" i="10" s="1"/>
  <c r="AC54" i="9"/>
  <c r="M54" i="9"/>
  <c r="AC53" i="9"/>
  <c r="M53" i="9"/>
  <c r="AC52" i="9"/>
  <c r="M52" i="9"/>
  <c r="AC51" i="9"/>
  <c r="M51" i="9"/>
  <c r="AC50" i="9"/>
  <c r="M50" i="9"/>
  <c r="AC49" i="9"/>
  <c r="M49" i="9"/>
  <c r="AC48" i="9"/>
  <c r="M48" i="9"/>
  <c r="AC47" i="9"/>
  <c r="M47" i="9"/>
  <c r="AC46" i="9"/>
  <c r="M46" i="9"/>
  <c r="AC45" i="9"/>
  <c r="M45" i="9"/>
  <c r="AC44" i="9"/>
  <c r="M44" i="9"/>
  <c r="AC43" i="9"/>
  <c r="M43" i="9"/>
  <c r="AC42" i="9"/>
  <c r="M42" i="9"/>
  <c r="AC41" i="9"/>
  <c r="M41" i="9"/>
  <c r="AC40" i="9"/>
  <c r="M40" i="9"/>
  <c r="AC39" i="9"/>
  <c r="M39" i="9"/>
  <c r="AC38" i="9"/>
  <c r="M38" i="9"/>
  <c r="AC37" i="9"/>
  <c r="M37" i="9"/>
  <c r="AC36" i="9"/>
  <c r="M36" i="9"/>
  <c r="AC35" i="9"/>
  <c r="M35" i="9"/>
  <c r="AC34" i="9"/>
  <c r="M34" i="9"/>
  <c r="AC33" i="9"/>
  <c r="M33" i="9"/>
  <c r="AC32" i="9"/>
  <c r="M32" i="9"/>
  <c r="AC31" i="9"/>
  <c r="M31" i="9"/>
  <c r="AC30" i="9"/>
  <c r="M30" i="9"/>
  <c r="AC29" i="9"/>
  <c r="M29" i="9"/>
  <c r="AC28" i="9"/>
  <c r="M28" i="9"/>
  <c r="AC27" i="9"/>
  <c r="M27" i="9"/>
  <c r="AC26" i="9"/>
  <c r="M26" i="9"/>
  <c r="AC25" i="9"/>
  <c r="M25" i="9"/>
  <c r="AC24" i="9"/>
  <c r="M24" i="9"/>
  <c r="AC23" i="9"/>
  <c r="M23" i="9"/>
  <c r="AC22" i="9"/>
  <c r="M22" i="9"/>
  <c r="AC21" i="9"/>
  <c r="M21" i="9"/>
  <c r="AC20" i="9"/>
  <c r="M20" i="9"/>
  <c r="AC19" i="9"/>
  <c r="M19" i="9"/>
  <c r="AC18" i="9"/>
  <c r="M18" i="9"/>
  <c r="AC17" i="9"/>
  <c r="M17" i="9"/>
  <c r="AC16" i="9"/>
  <c r="M16" i="9"/>
  <c r="AC15" i="9"/>
  <c r="M15" i="9"/>
  <c r="AC14" i="9"/>
  <c r="M14" i="9"/>
  <c r="AC13" i="9"/>
  <c r="M13" i="9"/>
  <c r="AC12" i="9"/>
  <c r="M12" i="9"/>
  <c r="AC11" i="9"/>
  <c r="M11" i="9"/>
  <c r="AC10" i="9"/>
  <c r="M10" i="9"/>
  <c r="AC9" i="9"/>
  <c r="M9" i="9"/>
  <c r="AC8" i="9"/>
  <c r="M8" i="9"/>
  <c r="AC7" i="9"/>
  <c r="M7" i="9"/>
  <c r="AC6" i="9"/>
  <c r="M6" i="9"/>
  <c r="AC5" i="9"/>
  <c r="M5" i="9"/>
  <c r="AC4" i="9"/>
  <c r="M4" i="9"/>
  <c r="AC3" i="9"/>
  <c r="M3" i="9"/>
  <c r="AC2" i="9"/>
  <c r="M2" i="9"/>
  <c r="V18" i="7"/>
  <c r="V16" i="7"/>
  <c r="V15" i="7"/>
  <c r="V9" i="7"/>
  <c r="V7" i="7"/>
  <c r="W30" i="5"/>
  <c r="W29" i="5"/>
  <c r="W28" i="5"/>
  <c r="W27" i="5"/>
  <c r="W26" i="5"/>
  <c r="W25" i="5"/>
  <c r="W24" i="5"/>
  <c r="W23" i="5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W3" i="5"/>
  <c r="W2" i="5"/>
  <c r="H9" i="10" l="1"/>
  <c r="V19" i="7"/>
  <c r="H12" i="10"/>
  <c r="E19" i="10"/>
  <c r="I7" i="10"/>
  <c r="I15" i="10"/>
  <c r="H19" i="10"/>
  <c r="L4" i="10"/>
  <c r="H17" i="10"/>
  <c r="L12" i="10"/>
  <c r="H10" i="10"/>
  <c r="V6" i="7" s="1"/>
  <c r="H5" i="10"/>
  <c r="I20" i="10"/>
  <c r="H4" i="10"/>
  <c r="J16" i="10"/>
  <c r="H2" i="10"/>
  <c r="H21" i="10"/>
  <c r="J4" i="10"/>
  <c r="J20" i="10"/>
  <c r="V8" i="7"/>
  <c r="E2" i="10"/>
  <c r="E6" i="10"/>
  <c r="E10" i="10"/>
  <c r="E14" i="10"/>
  <c r="E18" i="10"/>
  <c r="J12" i="10"/>
  <c r="I3" i="10"/>
  <c r="I19" i="10"/>
  <c r="V10" i="7"/>
  <c r="J3" i="10"/>
  <c r="J7" i="10"/>
  <c r="J11" i="10"/>
  <c r="J15" i="10"/>
  <c r="J19" i="10"/>
  <c r="E5" i="10"/>
  <c r="E9" i="10"/>
  <c r="E13" i="10"/>
  <c r="E17" i="10"/>
  <c r="E21" i="10"/>
  <c r="I2" i="10"/>
  <c r="I6" i="10"/>
  <c r="I10" i="10"/>
  <c r="I14" i="10"/>
  <c r="I18" i="10"/>
  <c r="J8" i="10"/>
  <c r="V13" i="7"/>
  <c r="J2" i="10"/>
  <c r="J6" i="10"/>
  <c r="J10" i="10"/>
  <c r="J14" i="10"/>
  <c r="J18" i="10"/>
  <c r="E4" i="10"/>
  <c r="E8" i="10"/>
  <c r="E12" i="10"/>
  <c r="E16" i="10"/>
  <c r="E20" i="10"/>
  <c r="I5" i="10"/>
  <c r="I9" i="10"/>
  <c r="I13" i="10"/>
  <c r="I17" i="10"/>
  <c r="I21" i="10"/>
  <c r="J5" i="10"/>
  <c r="J9" i="10"/>
  <c r="J13" i="10"/>
  <c r="J17" i="10"/>
  <c r="J21" i="10"/>
  <c r="E3" i="10"/>
  <c r="E7" i="10"/>
  <c r="E11" i="10"/>
  <c r="E15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ABA build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Input: the date the data was extracted from Salesforce (8 Oct 2026). Used by the Age formula.</t>
        </r>
      </text>
    </comment>
  </commentList>
</comments>
</file>

<file path=xl/sharedStrings.xml><?xml version="1.0" encoding="utf-8"?>
<sst xmlns="http://schemas.openxmlformats.org/spreadsheetml/2006/main" count="3931" uniqueCount="793">
  <si>
    <t>ABA Opportunity Reports &amp; Dashboards – Filter Criteria</t>
  </si>
  <si>
    <t>Generated from the deployed Salesforce metadata and live data in org ABA_Dev.</t>
  </si>
  <si>
    <t>Setting</t>
  </si>
  <si>
    <t>Value</t>
  </si>
  <si>
    <t>Note</t>
  </si>
  <si>
    <t>As of date</t>
  </si>
  <si>
    <t>Date the live data was read. Relative date filters (this month, current FY, next 30 days) resolve against this date. Change it to recalculate Age on the Opportunity Data sheet.</t>
  </si>
  <si>
    <t>Org</t>
  </si>
  <si>
    <t>ABA_Dev (00DgK00000bWvvVUAS)</t>
  </si>
  <si>
    <t>Developer Edition</t>
  </si>
  <si>
    <t>Fiscal year</t>
  </si>
  <si>
    <t>Standard, January – December</t>
  </si>
  <si>
    <t>Fiscal quarters equal calendar quarters</t>
  </si>
  <si>
    <t>Currency</t>
  </si>
  <si>
    <t>Amounts are SAR values from the sample CSV</t>
  </si>
  <si>
    <t>Org currency is USD, so Salesforce shows a $ sign</t>
  </si>
  <si>
    <t>Report type</t>
  </si>
  <si>
    <t>Opportunities (standard)</t>
  </si>
  <si>
    <t>All reports use Show Me = All opportunities (scope: organization)</t>
  </si>
  <si>
    <t>Sheet</t>
  </si>
  <si>
    <t>What it shows</t>
  </si>
  <si>
    <t>Report Catalog</t>
  </si>
  <si>
    <t>One row per report: purpose, folder, format, every filter, grouping, column, summary, chart and sort, and where it is used.</t>
  </si>
  <si>
    <t>Report Filters</t>
  </si>
  <si>
    <t>One row per filter condition per report, including the standard Opportunity Status and date-range filters and the filter logic.</t>
  </si>
  <si>
    <t>Report Fields</t>
  </si>
  <si>
    <t>One row per field per report, and its role (filter, date filter, row or column grouping, detail column, summary, chart).</t>
  </si>
  <si>
    <t>Field Usage Matrix</t>
  </si>
  <si>
    <t>Every field against every report, showing where each field is used.</t>
  </si>
  <si>
    <t>Dashboards</t>
  </si>
  <si>
    <t>Dashboard-level settings: folder, running user, grid, and dashboard filters with all their options.</t>
  </si>
  <si>
    <t>Dashboard Components</t>
  </si>
  <si>
    <t>One row per component: position on the grid, type, source report and that report's filters, measure, groupings, sort, gauge bands, table columns and current value.</t>
  </si>
  <si>
    <t>Home Page</t>
  </si>
  <si>
    <t>Sales app Home page regions and their components.</t>
  </si>
  <si>
    <t>Opportunity Data</t>
  </si>
  <si>
    <t>Every opportunity in the org with all reporting fields, plus a 1/0 flag showing whether it is included in each report.</t>
  </si>
  <si>
    <t>Report Results</t>
  </si>
  <si>
    <t>Record count and amount for each report, calculated with formulas from the flags, alongside the live count from Salesforce.</t>
  </si>
  <si>
    <t>Folders &amp; Access</t>
  </si>
  <si>
    <t>Report and dashboard folders and who they are shared with.</t>
  </si>
  <si>
    <t>Legend</t>
  </si>
  <si>
    <t>Yellow fill and blue text = input you can change. Black text = formula or text taken from Salesforce.</t>
  </si>
  <si>
    <t>Report ID</t>
  </si>
  <si>
    <t>Report name</t>
  </si>
  <si>
    <t>Column1</t>
  </si>
  <si>
    <t>Column2</t>
  </si>
  <si>
    <t>Column3</t>
  </si>
  <si>
    <t>Column4</t>
  </si>
  <si>
    <t>Description</t>
  </si>
  <si>
    <t>Format</t>
  </si>
  <si>
    <t>Show Me (scope)</t>
  </si>
  <si>
    <t>Opportunity Status</t>
  </si>
  <si>
    <t>Date field</t>
  </si>
  <si>
    <t>Date range</t>
  </si>
  <si>
    <t>Date range resolved (as of 8 Oct 2026)</t>
  </si>
  <si>
    <t>Field filters</t>
  </si>
  <si>
    <t>Filter logic</t>
  </si>
  <si>
    <t>Group rows by</t>
  </si>
  <si>
    <t>Group columns by</t>
  </si>
  <si>
    <t>Detail columns</t>
  </si>
  <si>
    <t>Summaries</t>
  </si>
  <si>
    <t>Custom summary formula</t>
  </si>
  <si>
    <t>Row limit</t>
  </si>
  <si>
    <t>Sort</t>
  </si>
  <si>
    <t>Report chart</t>
  </si>
  <si>
    <t>Show details / subtotals / grand total</t>
  </si>
  <si>
    <t>Used in dashboards &amp; Home page</t>
  </si>
  <si>
    <t>Salesforce report ID</t>
  </si>
  <si>
    <t>R01</t>
  </si>
  <si>
    <t>Revenue Won – YTD by Quarter &amp; Month</t>
  </si>
  <si>
    <t>Closed Won revenue this fiscal year by fiscal quarter and month.</t>
  </si>
  <si>
    <t>Summary</t>
  </si>
  <si>
    <t>Opportunity</t>
  </si>
  <si>
    <t>All opportunities</t>
  </si>
  <si>
    <t>All Opportunities</t>
  </si>
  <si>
    <t>Close Date</t>
  </si>
  <si>
    <t>Current FY</t>
  </si>
  <si>
    <t>1 Jan 2026 – 31 Dec 2026</t>
  </si>
  <si>
    <t>1. Stage equals "Closed Won"</t>
  </si>
  <si>
    <t>AND (all conditions)</t>
  </si>
  <si>
    <t>Close Date (Fiscal Quarter) → Close Month (Calendar Month)</t>
  </si>
  <si>
    <t>–</t>
  </si>
  <si>
    <t>Opportunity Name, Account Name, Opportunity Owner, Type, Amount</t>
  </si>
  <si>
    <t>Sum of Amount, Record Count</t>
  </si>
  <si>
    <t>None</t>
  </si>
  <si>
    <t>Default</t>
  </si>
  <si>
    <t>VerticalColumn · X: Close Date · Y: Sum of Amount</t>
  </si>
  <si>
    <t>true / true / true</t>
  </si>
  <si>
    <t>D1: Revenue Won – YTD
Home page (sidebar): report chart</t>
  </si>
  <si>
    <t>00OgK00000EysQTUAZ</t>
  </si>
  <si>
    <t>R02</t>
  </si>
  <si>
    <t>Revenue Won – This Month (MTD)</t>
  </si>
  <si>
    <t>Closed Won revenue this month by salesperson.</t>
  </si>
  <si>
    <t>Current Calendar Month</t>
  </si>
  <si>
    <t>1 Oct 2026 – 31 Oct 2026</t>
  </si>
  <si>
    <t>Opportunity Owner</t>
  </si>
  <si>
    <t>Opportunity Name, Account Name, Amount, Close Date</t>
  </si>
  <si>
    <t>No chart</t>
  </si>
  <si>
    <t>D1: Revenue Won – MTD</t>
  </si>
  <si>
    <t>00OgK00000EysQUUAZ</t>
  </si>
  <si>
    <t>R03</t>
  </si>
  <si>
    <t>Revenue Won – This Quarter (QTD)</t>
  </si>
  <si>
    <t>Closed Won revenue this fiscal quarter by salesperson (gauge vs quarterly target).</t>
  </si>
  <si>
    <t>Current FQ</t>
  </si>
  <si>
    <t>1 Oct 2026 – 31 Dec 2026</t>
  </si>
  <si>
    <t>D1: Revenue Won – QTD vs Target</t>
  </si>
  <si>
    <t>00OgK00000EysQVUAZ</t>
  </si>
  <si>
    <t>R04</t>
  </si>
  <si>
    <t>Revenue Won – This Year vs Last Year</t>
  </si>
  <si>
    <t>Closed Won revenue by quarter, current vs previous fiscal year.</t>
  </si>
  <si>
    <t>Matrix</t>
  </si>
  <si>
    <t>Previous FY + Current FY</t>
  </si>
  <si>
    <t>1 Jan 2025 – 31 Dec 2026</t>
  </si>
  <si>
    <t>Close Quarter</t>
  </si>
  <si>
    <t>Close Date (Fiscal Year)</t>
  </si>
  <si>
    <t>Amount</t>
  </si>
  <si>
    <t>VerticalColumnGrouped · X: Close Quarter · Series: Close Date · Y: Sum of Amount · Legend Right</t>
  </si>
  <si>
    <t>D1: Revenue by Quarter – This Year vs Last Year</t>
  </si>
  <si>
    <t>00OgK00000EysQWUAZ</t>
  </si>
  <si>
    <t>R05</t>
  </si>
  <si>
    <t>Open Pipeline by Stage</t>
  </si>
  <si>
    <t>Active open pipeline by stage (excludes Deferred and Old / Archived).</t>
  </si>
  <si>
    <t>Open Opportunities</t>
  </si>
  <si>
    <t>All Time</t>
  </si>
  <si>
    <t>No date limit (custom range left empty)</t>
  </si>
  <si>
    <t>1. Stage not equal to "Deferred,Old / Archived"</t>
  </si>
  <si>
    <t>Stage</t>
  </si>
  <si>
    <t>Opportunity Name, Account Name, Opportunity Owner, Amount, Probability (%), Expected Revenue, Close Date, Next Step</t>
  </si>
  <si>
    <t>Sum of Amount, Sum of Expected Revenue, Record Count</t>
  </si>
  <si>
    <t>Funnel · X: Stage · Y: Sum of Amount · Legend Right</t>
  </si>
  <si>
    <t>D1: Open Pipeline Value
D1: Pipeline by Stage
Home page (bottomLeft): report chart</t>
  </si>
  <si>
    <t>00OgK00000EysQXUAZ</t>
  </si>
  <si>
    <t>R06</t>
  </si>
  <si>
    <t>Pipeline by Close Quarter (Next 4)</t>
  </si>
  <si>
    <t>Active open pipeline closing this and the next 3 fiscal quarters, by forecast category.</t>
  </si>
  <si>
    <t>Current FQ + Next 3 FQ</t>
  </si>
  <si>
    <t>1 Oct 2026 – 30 Sep 2027</t>
  </si>
  <si>
    <t>Close Date (Fiscal Quarter)</t>
  </si>
  <si>
    <t>Forecast Category</t>
  </si>
  <si>
    <t>VerticalColumnStacked · X: Close Date · Series: Forecast Category · Y: Sum of Amount · Legend Right</t>
  </si>
  <si>
    <t>D1: Pipeline by Close Quarter</t>
  </si>
  <si>
    <t>00OgK00000EysQYUAZ</t>
  </si>
  <si>
    <t>R07</t>
  </si>
  <si>
    <t>Pipeline by Salesperson &amp; Stage</t>
  </si>
  <si>
    <t>Active open pipeline by salesperson and stage.</t>
  </si>
  <si>
    <t>HorizontalBarStacked · X: Opportunity Owner · Series: Stage · Y: Sum of Amount · Legend Right</t>
  </si>
  <si>
    <t>D2: Pipeline by Salesperson &amp; Stage</t>
  </si>
  <si>
    <t>00OgK00000EysQcUAJ</t>
  </si>
  <si>
    <t>R08</t>
  </si>
  <si>
    <t>Revenue Won by Salesperson – YTD</t>
  </si>
  <si>
    <t>Leaderboard: Closed Won revenue this fiscal year by salesperson.</t>
  </si>
  <si>
    <t>Opportunity Owner, sorted by aggregate Amount desc</t>
  </si>
  <si>
    <t>HorizontalBar · X: Opportunity Owner · Y: Sum of Amount</t>
  </si>
  <si>
    <t>D2: Revenue Won by Salesperson
Home page (sidebar): report chart</t>
  </si>
  <si>
    <t>00OgK00000EysQdUAJ</t>
  </si>
  <si>
    <t>R09</t>
  </si>
  <si>
    <t>Win Rate by Salesperson – YTD</t>
  </si>
  <si>
    <t>Win rate (won / closed) this fiscal year by salesperson.</t>
  </si>
  <si>
    <t>Closed Opportunities</t>
  </si>
  <si>
    <t>Opportunity Name, Stage, Amount, Won, Closed</t>
  </si>
  <si>
    <t>Win Rate % = WON:SUM / CLOSED:SUM (percent, 0 dp)</t>
  </si>
  <si>
    <t>D1: Win Rate YTD
D2: Win Rate by Salesperson</t>
  </si>
  <si>
    <t>00OgK00000EysQeUAJ</t>
  </si>
  <si>
    <t>R10</t>
  </si>
  <si>
    <t>Win-Loss Analysis by Reason – YTD</t>
  </si>
  <si>
    <t>Closed opportunities this fiscal year by outcome and win/loss reason.</t>
  </si>
  <si>
    <t>Stage → Win/Loss Reason</t>
  </si>
  <si>
    <t>Opportunity Name, Account Name, Opportunity Owner, Amount, Win/Loss Details</t>
  </si>
  <si>
    <t>HorizontalBarStacked · X: Stage · Series: Win/Loss Reason · Y: Sum of Amount · Legend Right</t>
  </si>
  <si>
    <t>Report only</t>
  </si>
  <si>
    <t>00OgK00000EysQhUAJ</t>
  </si>
  <si>
    <t>R10a</t>
  </si>
  <si>
    <t>Why We Win – YTD</t>
  </si>
  <si>
    <t>Dashboard source: Closed Won this fiscal year by win reason.</t>
  </si>
  <si>
    <t>Win/Loss Reason</t>
  </si>
  <si>
    <t>Donut · X: Win/Loss Reason · Y: Sum of Amount · Legend Right</t>
  </si>
  <si>
    <t>D2: Why We Win
Home page (bottomRight): report chart</t>
  </si>
  <si>
    <t>00OgK00000EysQfUAJ</t>
  </si>
  <si>
    <t>R10b</t>
  </si>
  <si>
    <t>Why We Lose – YTD</t>
  </si>
  <si>
    <t>Dashboard source: Closed Lost this fiscal year by loss reason.</t>
  </si>
  <si>
    <t>1. Stage equals "Closed Lost"</t>
  </si>
  <si>
    <t>D2: Why We Lose</t>
  </si>
  <si>
    <t>00OgK00000EysQgUAJ</t>
  </si>
  <si>
    <t>R11</t>
  </si>
  <si>
    <t>Closing in Next 30 Days</t>
  </si>
  <si>
    <t>Open deals at Proposal Submitted or later closing in the next 30 days (top 10 by close date).</t>
  </si>
  <si>
    <t>Tabular</t>
  </si>
  <si>
    <t>Next 30 Days</t>
  </si>
  <si>
    <t>Rolling: the next 30 days from today</t>
  </si>
  <si>
    <t>1. Stage equals "Proposal Submitted,Negotiation,Verbal Award"</t>
  </si>
  <si>
    <t>Opportunity Name, Account Name, Opportunity Owner, Stage, Amount, Close Date, Next Step</t>
  </si>
  <si>
    <t>10</t>
  </si>
  <si>
    <t>Close Date Asc</t>
  </si>
  <si>
    <t>D1: Top Deals Closing in 30 Days</t>
  </si>
  <si>
    <t>00OgK00000EysQiUAJ</t>
  </si>
  <si>
    <t>R12</t>
  </si>
  <si>
    <t>Overdue &amp; Stale Opportunities</t>
  </si>
  <si>
    <t>Open deals with a past close date or no activity in the last 30 days.</t>
  </si>
  <si>
    <t>1. Stage not equal to "Deferred,Old / Archived"
2. Close Date less than "TODAY"
3. Last Activity less than "LAST_N_DAYS:30"</t>
  </si>
  <si>
    <t>1 AND (2 OR 3)</t>
  </si>
  <si>
    <t>Opportunity Name, Opportunity Owner, Stage, Amount, Close Date, Last Activity, Last Modified Date</t>
  </si>
  <si>
    <t>Amount Desc</t>
  </si>
  <si>
    <t>D2: Overdue &amp; Stale Deals</t>
  </si>
  <si>
    <t>00OgK00000EysQjUAJ</t>
  </si>
  <si>
    <t>R13</t>
  </si>
  <si>
    <t>Deferred Opportunities</t>
  </si>
  <si>
    <t>Deferred (on hold) opportunities and the value that could come back.</t>
  </si>
  <si>
    <t>1. Stage equals "Deferred"</t>
  </si>
  <si>
    <t>Opportunity Name, Account Name, Amount, Deferred Date, Win/Loss Details, Close Date</t>
  </si>
  <si>
    <t>D2: Deferred Value</t>
  </si>
  <si>
    <t>00OgK00000EysQkUAJ</t>
  </si>
  <si>
    <t>R14</t>
  </si>
  <si>
    <t>Revenue &amp; Pipeline by Type</t>
  </si>
  <si>
    <t>Won and open (active) value this fiscal year by opportunity type.</t>
  </si>
  <si>
    <t>1. Stage not equal to "Closed Lost,Deferred,Old / Archived"</t>
  </si>
  <si>
    <t>Type</t>
  </si>
  <si>
    <t>Won</t>
  </si>
  <si>
    <t>Donut · X: Type · Y: Sum of Amount · Legend Right</t>
  </si>
  <si>
    <t>D2: Revenue by Type (New vs Existing)</t>
  </si>
  <si>
    <t>00OgK00000EysQZUAZ</t>
  </si>
  <si>
    <t>R15</t>
  </si>
  <si>
    <t>Revenue by Lead Source &amp; Campaign</t>
  </si>
  <si>
    <t>Closed Won revenue this fiscal year by lead source and primary campaign.</t>
  </si>
  <si>
    <t>Lead Source → Primary Campaign Source</t>
  </si>
  <si>
    <t>Opportunity Name, Account Name, Amount</t>
  </si>
  <si>
    <t>HorizontalBar · X: Lead Source · Y: Sum of Amount</t>
  </si>
  <si>
    <t>D2: Revenue by Lead Source</t>
  </si>
  <si>
    <t>00OgK00000EysQaUAJ</t>
  </si>
  <si>
    <t>R16</t>
  </si>
  <si>
    <t>Revenue by Industry &amp; Country</t>
  </si>
  <si>
    <t>Closed Won revenue this fiscal year by account industry and billing country (with segment).</t>
  </si>
  <si>
    <t>Account: Industry</t>
  </si>
  <si>
    <t>Account: Billing Country</t>
  </si>
  <si>
    <t>Amount, Account: Segment</t>
  </si>
  <si>
    <t>HorizontalBarStacked · X: Account: Industry · Series: Account: Billing Country · Y: Sum of Amount · Legend Right</t>
  </si>
  <si>
    <t>00OgK00000EysQbUAJ</t>
  </si>
  <si>
    <t>R17</t>
  </si>
  <si>
    <t>Upcoming Proposal Submissions</t>
  </si>
  <si>
    <t>Open deals with a proposal due in the next 30 days.</t>
  </si>
  <si>
    <t>Proposal Submission Date</t>
  </si>
  <si>
    <t>Opportunity Name, Account Name, Opportunity Owner, Stage, Proposal Submission Date, Amount</t>
  </si>
  <si>
    <t>Proposal Submission Date Asc</t>
  </si>
  <si>
    <t>00OgK00000EysQlUAJ</t>
  </si>
  <si>
    <t>R18</t>
  </si>
  <si>
    <t>Average Deal Size &amp; Sales Cycle</t>
  </si>
  <si>
    <t>Average deal size and age (days) of deals won in the last 365 days.</t>
  </si>
  <si>
    <t>1. Stage equals "Closed Won"
2. Close Date equals "LAST_N_DAYS:365"</t>
  </si>
  <si>
    <t>Opportunity Name, Amount, Age, Created Date, Close Date</t>
  </si>
  <si>
    <t>Average of Amount, Average of Age, Record Count</t>
  </si>
  <si>
    <t>00OgK00000EysQmUAJ</t>
  </si>
  <si>
    <t>Filter #</t>
  </si>
  <si>
    <t>Filter kind</t>
  </si>
  <si>
    <t>Field</t>
  </si>
  <si>
    <t>Field API name</t>
  </si>
  <si>
    <t>Operator</t>
  </si>
  <si>
    <t>Resolved value (as of 8 Oct 2026)</t>
  </si>
  <si>
    <t>Meaning</t>
  </si>
  <si>
    <t>S1</t>
  </si>
  <si>
    <t>Standard filter: Show Me</t>
  </si>
  <si>
    <t>Scope</t>
  </si>
  <si>
    <t>scope</t>
  </si>
  <si>
    <t>equals</t>
  </si>
  <si>
    <t>Every user's opportunities are included, not just the viewer's.</t>
  </si>
  <si>
    <t>S2</t>
  </si>
  <si>
    <t>Standard filter: Opportunity Status</t>
  </si>
  <si>
    <t>open</t>
  </si>
  <si>
    <t>Open and closed opportunities.</t>
  </si>
  <si>
    <t>S3</t>
  </si>
  <si>
    <t>Standard filter: Date range</t>
  </si>
  <si>
    <t>CLOSE_DATE</t>
  </si>
  <si>
    <t>within</t>
  </si>
  <si>
    <t>Close Date falls in current fy.</t>
  </si>
  <si>
    <t>Field filter</t>
  </si>
  <si>
    <t>STAGE_NAME</t>
  </si>
  <si>
    <t>Closed Won</t>
  </si>
  <si>
    <t>AND</t>
  </si>
  <si>
    <t>Stage is Closed Won.</t>
  </si>
  <si>
    <t>Close Date falls in current calendar month.</t>
  </si>
  <si>
    <t>Close Date falls in current fq.</t>
  </si>
  <si>
    <t>Close Date falls in previous fy + current fy.</t>
  </si>
  <si>
    <t>Only opportunities that are not closed.</t>
  </si>
  <si>
    <t>Close Date falls in all time.</t>
  </si>
  <si>
    <t>not equal to</t>
  </si>
  <si>
    <t>Deferred,Old / Archived</t>
  </si>
  <si>
    <t>Stage is not Deferred or Old / Archived.</t>
  </si>
  <si>
    <t>Close Date falls in current fq + next 3 fq.</t>
  </si>
  <si>
    <t>Only Closed Won and Closed Lost opportunities.</t>
  </si>
  <si>
    <t>Closed Lost</t>
  </si>
  <si>
    <t>Stage is Closed Lost.</t>
  </si>
  <si>
    <t>Close Date falls in next 30 days.</t>
  </si>
  <si>
    <t>Proposal Submitted,Negotiation,Verbal Award</t>
  </si>
  <si>
    <t>Stage is Proposal Submitted or Negotiation or Verbal Award.</t>
  </si>
  <si>
    <t>less than</t>
  </si>
  <si>
    <t>TODAY</t>
  </si>
  <si>
    <t>8 Oct 2026</t>
  </si>
  <si>
    <t>Close Date is less than TODAY.</t>
  </si>
  <si>
    <t>Last Activity</t>
  </si>
  <si>
    <t>LAST_ACTIVITY</t>
  </si>
  <si>
    <t>LAST_N_DAYS:30</t>
  </si>
  <si>
    <t>before 8 Sep 2026</t>
  </si>
  <si>
    <t>Last Activity is less than LAST_N_DAYS:30.</t>
  </si>
  <si>
    <t>Deferred</t>
  </si>
  <si>
    <t>Stage is Deferred.</t>
  </si>
  <si>
    <t>Closed Lost,Deferred,Old / Archived</t>
  </si>
  <si>
    <t>Stage is not Closed Lost or Deferred or Old / Archived.</t>
  </si>
  <si>
    <t>Opportunity.Proposal_Submission_Date__c</t>
  </si>
  <si>
    <t>Proposal Submission Date falls in next 30 days.</t>
  </si>
  <si>
    <t>LAST_N_DAYS:365</t>
  </si>
  <si>
    <t>8 Oct 2025 – 8 Oct 2026</t>
  </si>
  <si>
    <t>Close Date is LAST_N_DAYS:365.</t>
  </si>
  <si>
    <t>Role</t>
  </si>
  <si>
    <t>Order</t>
  </si>
  <si>
    <t>Aggregate / granularity</t>
  </si>
  <si>
    <t>equals Closed Won</t>
  </si>
  <si>
    <t>Date filter</t>
  </si>
  <si>
    <t>Fiscal Quarter</t>
  </si>
  <si>
    <t>Asc</t>
  </si>
  <si>
    <t>Close Month</t>
  </si>
  <si>
    <t>CLOSE_MONTH</t>
  </si>
  <si>
    <t>Calendar Month</t>
  </si>
  <si>
    <t>Detail column</t>
  </si>
  <si>
    <t>Opportunity Name</t>
  </si>
  <si>
    <t>OPPORTUNITY_NAME</t>
  </si>
  <si>
    <t>Account Name</t>
  </si>
  <si>
    <t>ACCOUNT_NAME</t>
  </si>
  <si>
    <t>FULL_NAME</t>
  </si>
  <si>
    <t>TYPE</t>
  </si>
  <si>
    <t>AMOUNT</t>
  </si>
  <si>
    <t>Sum</t>
  </si>
  <si>
    <t>Chart X-axis</t>
  </si>
  <si>
    <t>VerticalColumn</t>
  </si>
  <si>
    <t>Opportunity.Close_Quarter__c</t>
  </si>
  <si>
    <t>Fiscal Year</t>
  </si>
  <si>
    <t>VerticalColumnGrouped</t>
  </si>
  <si>
    <t>Chart series</t>
  </si>
  <si>
    <t>not equal to Deferred,Old / Archived</t>
  </si>
  <si>
    <t>Probability (%)</t>
  </si>
  <si>
    <t>PROBABILITY</t>
  </si>
  <si>
    <t>Expected Revenue</t>
  </si>
  <si>
    <t>EXP_AMOUNT</t>
  </si>
  <si>
    <t>Next Step</t>
  </si>
  <si>
    <t>NEXT_STEP</t>
  </si>
  <si>
    <t>Funnel</t>
  </si>
  <si>
    <t>FORECAST_CATEGORY</t>
  </si>
  <si>
    <t>VerticalColumnStacked</t>
  </si>
  <si>
    <t>HorizontalBarStacked</t>
  </si>
  <si>
    <t>Aggregate Amount Desc</t>
  </si>
  <si>
    <t>HorizontalBar</t>
  </si>
  <si>
    <t>WON</t>
  </si>
  <si>
    <t>Closed</t>
  </si>
  <si>
    <t>CLOSED</t>
  </si>
  <si>
    <t>Win Rate %</t>
  </si>
  <si>
    <t>FORMULA1</t>
  </si>
  <si>
    <t>WON:SUM / CLOSED:SUM</t>
  </si>
  <si>
    <t>Opportunity.Win_Loss_Reason__c</t>
  </si>
  <si>
    <t>Win/Loss Details</t>
  </si>
  <si>
    <t>Opportunity.Win_Loss_Details__c</t>
  </si>
  <si>
    <t>Donut</t>
  </si>
  <si>
    <t>equals Closed Lost</t>
  </si>
  <si>
    <t>equals Proposal Submitted,Negotiation,Verbal Award</t>
  </si>
  <si>
    <t>Report sort</t>
  </si>
  <si>
    <t>less than TODAY</t>
  </si>
  <si>
    <t>less than LAST_N_DAYS:30</t>
  </si>
  <si>
    <t>Last Modified Date</t>
  </si>
  <si>
    <t>LAST_UPDATE</t>
  </si>
  <si>
    <t>Desc</t>
  </si>
  <si>
    <t>equals Deferred</t>
  </si>
  <si>
    <t>Deferred Date</t>
  </si>
  <si>
    <t>Opportunity.Deferred_Date__c</t>
  </si>
  <si>
    <t>not equal to Closed Lost,Deferred,Old / Archived</t>
  </si>
  <si>
    <t>Lead Source</t>
  </si>
  <si>
    <t>LEAD_SOURCE</t>
  </si>
  <si>
    <t>Primary Campaign Source</t>
  </si>
  <si>
    <t>CAMPAIGN_SOURCE</t>
  </si>
  <si>
    <t>INDUSTRY</t>
  </si>
  <si>
    <t>ADDRESS1_COUNTRY_CODE</t>
  </si>
  <si>
    <t>Account: Segment</t>
  </si>
  <si>
    <t>Account.Segment__c</t>
  </si>
  <si>
    <t>equals LAST_N_DAYS:365</t>
  </si>
  <si>
    <t>Average</t>
  </si>
  <si>
    <t>Age</t>
  </si>
  <si>
    <t>AGE</t>
  </si>
  <si>
    <t>Created Date</t>
  </si>
  <si>
    <t>CREATED_DATE</t>
  </si>
  <si>
    <t>Reports using it</t>
  </si>
  <si>
    <t>C</t>
  </si>
  <si>
    <t>GC</t>
  </si>
  <si>
    <t>GR</t>
  </si>
  <si>
    <t>CΣ</t>
  </si>
  <si>
    <t>CΣ S</t>
  </si>
  <si>
    <t>D GR</t>
  </si>
  <si>
    <t>D C</t>
  </si>
  <si>
    <t>D GC</t>
  </si>
  <si>
    <t>D</t>
  </si>
  <si>
    <t>D C S</t>
  </si>
  <si>
    <t>F D C</t>
  </si>
  <si>
    <t>F C</t>
  </si>
  <si>
    <t>F</t>
  </si>
  <si>
    <t>F GR</t>
  </si>
  <si>
    <t>F GC</t>
  </si>
  <si>
    <t>Win Rate % (custom summary formula)</t>
  </si>
  <si>
    <t>SF</t>
  </si>
  <si>
    <t>F = field filter · D = date-range filter · GR = group rows · GC = group columns · C = detail column · CΣ = column with summary · SF = custom summary formula · S = report sort</t>
  </si>
  <si>
    <t>Dashboard ID</t>
  </si>
  <si>
    <t>Title</t>
  </si>
  <si>
    <t>API name</t>
  </si>
  <si>
    <t>Folder</t>
  </si>
  <si>
    <t>Dashboard type</t>
  </si>
  <si>
    <t>Running user (View as)</t>
  </si>
  <si>
    <t>Grid columns</t>
  </si>
  <si>
    <t>Row height (px)</t>
  </si>
  <si>
    <t>Components</t>
  </si>
  <si>
    <t>Theme / palette</t>
  </si>
  <si>
    <t>Dashboard filter</t>
  </si>
  <si>
    <t>Filter field</t>
  </si>
  <si>
    <t>Filter options (operator: equals)</t>
  </si>
  <si>
    <t>Shown on Home page</t>
  </si>
  <si>
    <t>D1</t>
  </si>
  <si>
    <t>ABA Management – Revenue &amp; Pipeline</t>
  </si>
  <si>
    <t>ABA_Management_Revenue_Pipeline</t>
  </si>
  <si>
    <t>ABA Management Dashboards</t>
  </si>
  <si>
    <t>D1: revenue won (MTD/QTD/YTD), year-on-year trend, pipeline and deals to push now.</t>
  </si>
  <si>
    <t>Run as a specified user</t>
  </si>
  <si>
    <t>suraj.od.885d11d47e1b@agentforce.com</t>
  </si>
  <si>
    <t>light / unity</t>
  </si>
  <si>
    <t>Opportunity Owner (FULL_NAME)</t>
  </si>
  <si>
    <t>All, Mohammed Alburayh, Suraj OD, Venkatesh Rethinasamy</t>
  </si>
  <si>
    <t>Yes – top region</t>
  </si>
  <si>
    <t>Account Industry</t>
  </si>
  <si>
    <t>Account: Industry (INDUSTRY)</t>
  </si>
  <si>
    <t>All, Agriculture, Banking, Construction, Education, Energy, Food &amp; Beverage, Healthcare, Manufacturing, Oil &amp; Gas, Retail, Telecommunications, Transportation</t>
  </si>
  <si>
    <t>D2</t>
  </si>
  <si>
    <t>ABA Sales Performance &amp; Win-Loss</t>
  </si>
  <si>
    <t>ABA_Sales_Performance_Win_Loss</t>
  </si>
  <si>
    <t>D2: salesperson leaderboard, pipeline coverage, win rate, win/loss reasons, revenue mix and hygiene.</t>
  </si>
  <si>
    <t>Dashboard</t>
  </si>
  <si>
    <t>Component #</t>
  </si>
  <si>
    <t>Header</t>
  </si>
  <si>
    <t>Component type</t>
  </si>
  <si>
    <t>Grid row</t>
  </si>
  <si>
    <t>Grid column</t>
  </si>
  <si>
    <t>Row span</t>
  </si>
  <si>
    <t>Column span</t>
  </si>
  <si>
    <t>Source report ID</t>
  </si>
  <si>
    <t>Source report</t>
  </si>
  <si>
    <t>Source report filters</t>
  </si>
  <si>
    <t>Measure</t>
  </si>
  <si>
    <t>Groupings (X-axis → series)</t>
  </si>
  <si>
    <t>Legend / labels</t>
  </si>
  <si>
    <t>Gauge or metric bands</t>
  </si>
  <si>
    <t>Table columns</t>
  </si>
  <si>
    <t>Table sort</t>
  </si>
  <si>
    <t>Responds to dashboard filters</t>
  </si>
  <si>
    <t>Drill-down</t>
  </si>
  <si>
    <t>Current value (formula)</t>
  </si>
  <si>
    <t>Revenue Won – MTD</t>
  </si>
  <si>
    <t>Metric</t>
  </si>
  <si>
    <t>All Opportunities
Close Date = Current Calendar Month
Stage equals "Closed Won"</t>
  </si>
  <si>
    <t>Sum of Amount</t>
  </si>
  <si>
    <t>label 'Month to date'</t>
  </si>
  <si>
    <t>Red below 1,000,000, amber to 1,500,000, green above</t>
  </si>
  <si>
    <t>Opportunity Owner, Account: Industry</t>
  </si>
  <si>
    <t>Off (opens report via View Report)</t>
  </si>
  <si>
    <t>Revenue Won – QTD vs Target</t>
  </si>
  <si>
    <t>Gauge</t>
  </si>
  <si>
    <t>All Opportunities
Close Date = Current FQ
Stage equals "Closed Won"</t>
  </si>
  <si>
    <t>percent false</t>
  </si>
  <si>
    <t>0 – 3,000,000 red · 3,000,000 – 4,500,000 amber · 4,500,000 – 5,000,000 green (target 5,000,000)</t>
  </si>
  <si>
    <t>Revenue Won – YTD</t>
  </si>
  <si>
    <t>All Opportunities
Close Date = Current FY
Stage equals "Closed Won"</t>
  </si>
  <si>
    <t>label 'Year to date'</t>
  </si>
  <si>
    <t>Single neutral colour (no target)</t>
  </si>
  <si>
    <t>Open Pipeline Value</t>
  </si>
  <si>
    <t>Open Opportunities
Close Date = All Time
Stage not equal to "Deferred,Old / Archived"</t>
  </si>
  <si>
    <t>label 'Active pipeline'</t>
  </si>
  <si>
    <t>Win Rate YTD</t>
  </si>
  <si>
    <t>Closed Opportunities
Close Date = Current FY</t>
  </si>
  <si>
    <t>label 'Won / closed'</t>
  </si>
  <si>
    <t>Revenue by Quarter – This Year vs Last Year</t>
  </si>
  <si>
    <t>ColumnGrouped</t>
  </si>
  <si>
    <t>All Opportunities
Close Date = Previous FY + Current FY
Stage equals "Closed Won"</t>
  </si>
  <si>
    <t>Close Quarter → Close Date</t>
  </si>
  <si>
    <t>RowLabelAscending</t>
  </si>
  <si>
    <t>legend Bottom, values true, total false, percent false</t>
  </si>
  <si>
    <t>Pipeline by Stage</t>
  </si>
  <si>
    <t>legend Right, values true, total false, percent false</t>
  </si>
  <si>
    <t>Pipeline by Close Quarter</t>
  </si>
  <si>
    <t>ColumnStacked</t>
  </si>
  <si>
    <t>Open Opportunities
Close Date = Current FQ + Next 3 FQ
Stage not equal to "Deferred,Old / Archived"</t>
  </si>
  <si>
    <t>Close Date → Forecast Category</t>
  </si>
  <si>
    <t>Top Deals Closing in 30 Days</t>
  </si>
  <si>
    <t>FlexTable</t>
  </si>
  <si>
    <t>Open Opportunities
Close Date = Next 30 Days
Stage equals "Proposal Submitted,Negotiation,Verbal Award"</t>
  </si>
  <si>
    <t>Table columns (see right)</t>
  </si>
  <si>
    <t>Opportunity Name (detail), Account Name (detail), Opportunity Owner (detail), Stage (detail), Amount (detail), Close Date (detail)</t>
  </si>
  <si>
    <t>Close Date ascending</t>
  </si>
  <si>
    <t>Revenue Won by Salesperson</t>
  </si>
  <si>
    <t>Bar</t>
  </si>
  <si>
    <t>RowValueDescending</t>
  </si>
  <si>
    <t>BarStacked</t>
  </si>
  <si>
    <t>Opportunity Owner → Stage</t>
  </si>
  <si>
    <t>Win Rate by Salesperson</t>
  </si>
  <si>
    <t>Opportunity Owner (grouping), Win Rate % (custom summary formula) (aggregate), Record Count (aggregate)</t>
  </si>
  <si>
    <t>Win Rate % (custom summary formula) descending</t>
  </si>
  <si>
    <t>Why We Win</t>
  </si>
  <si>
    <t>legend Right, values true, total true, percent false</t>
  </si>
  <si>
    <t>Why We Lose</t>
  </si>
  <si>
    <t>All Opportunities
Close Date = Current FY
Stage equals "Closed Lost"</t>
  </si>
  <si>
    <t>Revenue by Type (New vs Existing)</t>
  </si>
  <si>
    <t>All Opportunities
Close Date = Current FY
Stage not equal to "Closed Lost,Deferred,Old / Archived"</t>
  </si>
  <si>
    <t>Revenue by Lead Source</t>
  </si>
  <si>
    <t>Deferred Value</t>
  </si>
  <si>
    <t>All Opportunities
Close Date = All Time
Stage equals "Deferred"</t>
  </si>
  <si>
    <t>label 'Revenue on hold'</t>
  </si>
  <si>
    <t>Overdue &amp; Stale Deals</t>
  </si>
  <si>
    <t>Open Opportunities
Close Date = All Time
Stage not equal to "Deferred,Old / Archived"
Close Date less than "TODAY"
Last Activity less than "LAST_N_DAYS:30"</t>
  </si>
  <si>
    <t>Opportunity Name (detail), Opportunity Owner (detail), Stage (detail), Amount (detail), Close Date (detail)</t>
  </si>
  <si>
    <t>Amount descending</t>
  </si>
  <si>
    <t>Lightning page</t>
  </si>
  <si>
    <t>Template</t>
  </si>
  <si>
    <t>Assigned to</t>
  </si>
  <si>
    <t>Region</t>
  </si>
  <si>
    <t>Position</t>
  </si>
  <si>
    <t>Component</t>
  </si>
  <si>
    <t>Shows</t>
  </si>
  <si>
    <t>Settings</t>
  </si>
  <si>
    <t>ABA Sales Home Page (ABA_Sales_Home_Page)</t>
  </si>
  <si>
    <t>home:desktopTemplate</t>
  </si>
  <si>
    <t>Sales app (standard__LightningSales), desktop Home tab</t>
  </si>
  <si>
    <t>top</t>
  </si>
  <si>
    <t>desktopDashboards:embeddedDashboard</t>
  </si>
  <si>
    <t>Embedded dashboard: D1 – ABA Management – Revenue &amp; Pipeline</t>
  </si>
  <si>
    <t>Height 900 px; hide on error false</t>
  </si>
  <si>
    <t>Embedded dashboard: D2 – ABA Sales Performance &amp; Win-Loss</t>
  </si>
  <si>
    <t>Height 1050 px; hide on error false</t>
  </si>
  <si>
    <t>bottomLeft</t>
  </si>
  <si>
    <t>flexipage:reportChart</t>
  </si>
  <si>
    <t>Report chart: R05 Open Pipeline by Stage</t>
  </si>
  <si>
    <t>Label 'Open Pipeline by Stage'; cache 1440 min; refresh button true</t>
  </si>
  <si>
    <t>bottomRight</t>
  </si>
  <si>
    <t>Report chart: R10a Why We Win – YTD</t>
  </si>
  <si>
    <t>Label 'Why We Win – YTD'; cache 1440 min; refresh button true</t>
  </si>
  <si>
    <t>sidebar</t>
  </si>
  <si>
    <t>Report chart: R08 Revenue Won by Salesperson – YTD</t>
  </si>
  <si>
    <t>Label 'Revenue Won by Salesperson – YTD'; cache 1440 min; refresh button true</t>
  </si>
  <si>
    <t>Report chart: R01 Revenue Won – YTD by Quarter &amp; Month</t>
  </si>
  <si>
    <t>Label 'Revenue Won – YTD'; cache 1440 min; refresh button true</t>
  </si>
  <si>
    <t>Opportunity ID</t>
  </si>
  <si>
    <t>Offering</t>
  </si>
  <si>
    <t>Age (days)</t>
  </si>
  <si>
    <t>Source of record</t>
  </si>
  <si>
    <t>In R01</t>
  </si>
  <si>
    <t>In R02</t>
  </si>
  <si>
    <t>In R03</t>
  </si>
  <si>
    <t>In R04</t>
  </si>
  <si>
    <t>In R05</t>
  </si>
  <si>
    <t>In R06</t>
  </si>
  <si>
    <t>In R07</t>
  </si>
  <si>
    <t>In R08</t>
  </si>
  <si>
    <t>In R09</t>
  </si>
  <si>
    <t>In R10</t>
  </si>
  <si>
    <t>In R10a</t>
  </si>
  <si>
    <t>In R10b</t>
  </si>
  <si>
    <t>In R11</t>
  </si>
  <si>
    <t>In R12</t>
  </si>
  <si>
    <t>In R13</t>
  </si>
  <si>
    <t>In R14</t>
  </si>
  <si>
    <t>In R15</t>
  </si>
  <si>
    <t>In R16</t>
  </si>
  <si>
    <t>In R17</t>
  </si>
  <si>
    <t>In R18</t>
  </si>
  <si>
    <t>006gK00000Po2EjQAJ</t>
  </si>
  <si>
    <t>Desert Bloom Foods – SAP SuccessFactors 2025</t>
  </si>
  <si>
    <t>Desert Bloom Foods</t>
  </si>
  <si>
    <t>Food &amp; Beverage</t>
  </si>
  <si>
    <t>Saudi Arabia</t>
  </si>
  <si>
    <t>SME</t>
  </si>
  <si>
    <t>Suraj OD</t>
  </si>
  <si>
    <t>Q1</t>
  </si>
  <si>
    <t>2025</t>
  </si>
  <si>
    <t>Existing Customer – New Opportunity</t>
  </si>
  <si>
    <t>Web</t>
  </si>
  <si>
    <t>SAP SuccessFactors</t>
  </si>
  <si>
    <t>Partner (SAP) Influence</t>
  </si>
  <si>
    <t>Won: partner (sap) influence</t>
  </si>
  <si>
    <t>ABA sample CSV</t>
  </si>
  <si>
    <t>006gK00000Po2EoQAJ</t>
  </si>
  <si>
    <t>Qassim Agri Ventures – SAP S/4HANA 2025</t>
  </si>
  <si>
    <t>Qassim Agri Ventures</t>
  </si>
  <si>
    <t>Agriculture</t>
  </si>
  <si>
    <t>Omitted</t>
  </si>
  <si>
    <t>Existing Customer – Support</t>
  </si>
  <si>
    <t>SAP Leads</t>
  </si>
  <si>
    <t>SAP S/4HANA</t>
  </si>
  <si>
    <t>Budget Cut / No Decision</t>
  </si>
  <si>
    <t>Lost: budget cut / no decision</t>
  </si>
  <si>
    <t>006gK00000Po2F0QAJ</t>
  </si>
  <si>
    <t>Riyadh Smart Utilities – SAP S/4HANA 2025</t>
  </si>
  <si>
    <t>Riyadh Smart Utilities</t>
  </si>
  <si>
    <t>Energy</t>
  </si>
  <si>
    <t>Enterprise</t>
  </si>
  <si>
    <t>Venkatesh Rethinasamy</t>
  </si>
  <si>
    <t>Events &amp; Campaigns</t>
  </si>
  <si>
    <t>006gK00000Po2EkQAJ</t>
  </si>
  <si>
    <t>Taiba Education Co – SAP SuccessFactors 2025</t>
  </si>
  <si>
    <t>Taiba Education Co</t>
  </si>
  <si>
    <t>Education</t>
  </si>
  <si>
    <t>Corporate</t>
  </si>
  <si>
    <t>Q2</t>
  </si>
  <si>
    <t>Price Competitiveness</t>
  </si>
  <si>
    <t>Won: price competitiveness</t>
  </si>
  <si>
    <t>006gK00000Po2EyQAJ</t>
  </si>
  <si>
    <t>Emirates Facility Mgmt – SAP Support (AMS) 2025</t>
  </si>
  <si>
    <t>Emirates Facility Mgmt</t>
  </si>
  <si>
    <t>Construction</t>
  </si>
  <si>
    <t>United Arab Emirates</t>
  </si>
  <si>
    <t>SAP Support (AMS)</t>
  </si>
  <si>
    <t>Customer Relationship / Incumbent</t>
  </si>
  <si>
    <t>Won: customer relationship / incumbent</t>
  </si>
  <si>
    <t>006gK00000Po2F2QAJ</t>
  </si>
  <si>
    <t>Al Noor Healthcare – Data &amp; Analytics 2025</t>
  </si>
  <si>
    <t>Al Noor Healthcare</t>
  </si>
  <si>
    <t>Healthcare</t>
  </si>
  <si>
    <t>Net New Names</t>
  </si>
  <si>
    <t>Data &amp; Analytics</t>
  </si>
  <si>
    <t>Lost to Competitor</t>
  </si>
  <si>
    <t>Lost: lost to competitor</t>
  </si>
  <si>
    <t>006gK00000Po2ExQAJ</t>
  </si>
  <si>
    <t>Red Sea Logistics – SAP S/4HANA 2025</t>
  </si>
  <si>
    <t>Red Sea Logistics</t>
  </si>
  <si>
    <t>Transportation</t>
  </si>
  <si>
    <t>Phone Inquiry</t>
  </si>
  <si>
    <t>Technical Solution Fit</t>
  </si>
  <si>
    <t>Won: technical solution fit</t>
  </si>
  <si>
    <t>006gK00000Po2F4QAJ</t>
  </si>
  <si>
    <t>Emirates Facility Mgmt – Cloud Migration 2025</t>
  </si>
  <si>
    <t>Existing Customer – Upgrade/Upsell</t>
  </si>
  <si>
    <t>Sales Outreach</t>
  </si>
  <si>
    <t>Cloud Migration</t>
  </si>
  <si>
    <t>006gK00000Po2EnQAJ</t>
  </si>
  <si>
    <t>Oasis Manufacturing – SAP Support (AMS) 2025</t>
  </si>
  <si>
    <t>Oasis Manufacturing</t>
  </si>
  <si>
    <t>Manufacturing</t>
  </si>
  <si>
    <t>Q3</t>
  </si>
  <si>
    <t>006gK00000Po2ElQAJ</t>
  </si>
  <si>
    <t>Gulf Petrochem Services – Data &amp; Analytics 2025</t>
  </si>
  <si>
    <t>Gulf Petrochem Services</t>
  </si>
  <si>
    <t>Oil &amp; Gas</t>
  </si>
  <si>
    <t>Mohammed Alburayh</t>
  </si>
  <si>
    <t>Scope Cancelled</t>
  </si>
  <si>
    <t>Lost: scope cancelled</t>
  </si>
  <si>
    <t>006gK00000Po2F5QAJ</t>
  </si>
  <si>
    <t>Taiba Education Co – SAP S/4HANA 2025</t>
  </si>
  <si>
    <t>Q4</t>
  </si>
  <si>
    <t>Pricing / Commercial</t>
  </si>
  <si>
    <t>Lost: pricing / commercial</t>
  </si>
  <si>
    <t>006gK00000Po2EpQAJ</t>
  </si>
  <si>
    <t>Oasis Manufacturing – Cloud Migration 2025</t>
  </si>
  <si>
    <t>Partner Referral</t>
  </si>
  <si>
    <t>006gK00000Po2EtQAJ</t>
  </si>
  <si>
    <t>Existing Customer – Change Request</t>
  </si>
  <si>
    <t>006gK00000Po2EuQAJ</t>
  </si>
  <si>
    <t>Desert Bloom Foods – SAP S/4HANA 2026</t>
  </si>
  <si>
    <t>2026</t>
  </si>
  <si>
    <t>006gK00000Po2EvQAJ</t>
  </si>
  <si>
    <t>Red Sea Logistics – SAP SuccessFactors 2026</t>
  </si>
  <si>
    <t>006gK00000Po2ErQAJ</t>
  </si>
  <si>
    <t>Desert Bloom Foods – SAP SuccessFactors 2026</t>
  </si>
  <si>
    <t>006gK00000Po2EwQAJ</t>
  </si>
  <si>
    <t>Taiba Education Co – SAP Support (AMS) 2026</t>
  </si>
  <si>
    <t>006gK00000Po2F8QAJ</t>
  </si>
  <si>
    <t>Al Noor Healthcare – Data &amp; Analytics 2026</t>
  </si>
  <si>
    <t>006gK00000Po2EqQAJ</t>
  </si>
  <si>
    <t>Taiba Education Co – Cloud Migration 2026</t>
  </si>
  <si>
    <t>006gK00000Po2F3QAJ</t>
  </si>
  <si>
    <t>Khaleej Finance House – Cloud Migration 2026</t>
  </si>
  <si>
    <t>Khaleej Finance House</t>
  </si>
  <si>
    <t>Banking</t>
  </si>
  <si>
    <t>006gK00000Po2EsQAJ</t>
  </si>
  <si>
    <t>Qassim Agri Ventures – SAP Support (AMS) 2026</t>
  </si>
  <si>
    <t>006gK00000Po2F7QAJ</t>
  </si>
  <si>
    <t>Riyadh Smart Utilities – SAP SuccessFactors 2026</t>
  </si>
  <si>
    <t>006gK00000Po2F6QAJ</t>
  </si>
  <si>
    <t>006gK00000Po2EmQAJ</t>
  </si>
  <si>
    <t>Gulf Petrochem Services – SAP SuccessFactors 2026</t>
  </si>
  <si>
    <t>006gK00000Po2EzQAJ</t>
  </si>
  <si>
    <t>Bahrain Telecom Partners – SAP S/4HANA 2026</t>
  </si>
  <si>
    <t>Bahrain Telecom Partners</t>
  </si>
  <si>
    <t>Telecommunications</t>
  </si>
  <si>
    <t>Bahrain</t>
  </si>
  <si>
    <t>Delivery Capability &amp; References</t>
  </si>
  <si>
    <t>Won: delivery capability &amp; references</t>
  </si>
  <si>
    <t>006gK00000Po2FOQAZ</t>
  </si>
  <si>
    <t>Riyadh Smart Utilities – SAP S/4HANA 2026</t>
  </si>
  <si>
    <t>Internal Review</t>
  </si>
  <si>
    <t>Pipeline</t>
  </si>
  <si>
    <t>006gK00000Po2F1QAJ</t>
  </si>
  <si>
    <t>Gulf Petrochem Services – SAP S/4HANA 2026</t>
  </si>
  <si>
    <t>006gK00000Po2FPQAZ</t>
  </si>
  <si>
    <t>Bahrain Telecom Partners – SAP Support (AMS) 2026</t>
  </si>
  <si>
    <t>Verbal Award</t>
  </si>
  <si>
    <t>Commit</t>
  </si>
  <si>
    <t>006gK00000Po2FVQAZ</t>
  </si>
  <si>
    <t>Najd Retail Group – SAP S/4HANA 2026</t>
  </si>
  <si>
    <t>Najd Retail Group</t>
  </si>
  <si>
    <t>Retail</t>
  </si>
  <si>
    <t>006gK00000Po2FWQAZ</t>
  </si>
  <si>
    <t>Al Noor Healthcare – SAP SuccessFactors 2026</t>
  </si>
  <si>
    <t>006gK00000Po2FYQAZ</t>
  </si>
  <si>
    <t>006gK00000Po2FLQAZ</t>
  </si>
  <si>
    <t>Najd Retail Group – Data &amp; Analytics 2026</t>
  </si>
  <si>
    <t>Proposal Submitted</t>
  </si>
  <si>
    <t>Best Case</t>
  </si>
  <si>
    <t>006gK00000Po2FCQAZ</t>
  </si>
  <si>
    <t>Najd Retail Group – SAP SuccessFactors 2026</t>
  </si>
  <si>
    <t>Solutioning</t>
  </si>
  <si>
    <t>006gK00000Po2FXQAZ</t>
  </si>
  <si>
    <t>Riyadh Smart Utilities – Data &amp; Analytics 2026</t>
  </si>
  <si>
    <t>Negotiation</t>
  </si>
  <si>
    <t>006gK00000Po2FKQAZ</t>
  </si>
  <si>
    <t>006gK00000Po2FJQAZ</t>
  </si>
  <si>
    <t>Khaleej Finance House – Data &amp; Analytics 2026</t>
  </si>
  <si>
    <t>Qualification</t>
  </si>
  <si>
    <t>006gK00000Po2FBQAZ</t>
  </si>
  <si>
    <t>Red Sea Logistics – Cloud Migration 2026</t>
  </si>
  <si>
    <t>Proposal Preparation</t>
  </si>
  <si>
    <t>006gK00000Po2FEQAZ</t>
  </si>
  <si>
    <t>006gK00000Po2FAQAZ</t>
  </si>
  <si>
    <t>Khaleej Finance House – SAP Support (AMS) 2026</t>
  </si>
  <si>
    <t>006gK00000Po2FGQAZ</t>
  </si>
  <si>
    <t>Desert Bloom Foods – SAP Support (AMS) 2026</t>
  </si>
  <si>
    <t>006gK00000Po8C5QAJ</t>
  </si>
  <si>
    <t>Motiveminds Test Opportunity</t>
  </si>
  <si>
    <t>Motiveminds Test Account</t>
  </si>
  <si>
    <t>Prospecting</t>
  </si>
  <si>
    <t>Created manually in the org (not part of the build)</t>
  </si>
  <si>
    <t>006gK00000Po2FIQAZ</t>
  </si>
  <si>
    <t>Taiba Education Co – SAP S/4HANA 2027</t>
  </si>
  <si>
    <t>2027</t>
  </si>
  <si>
    <t>006gK00000Po2F9QAJ</t>
  </si>
  <si>
    <t>Al Noor Healthcare – Cloud Migration 2027</t>
  </si>
  <si>
    <t>006gK00000Po2FTQAZ</t>
  </si>
  <si>
    <t>Khaleej Finance House – Cloud Migration 2027</t>
  </si>
  <si>
    <t>Customer budget on hold</t>
  </si>
  <si>
    <t>006gK00000Po2FFQAZ</t>
  </si>
  <si>
    <t>Al Noor Healthcare – SAP SuccessFactors 2027</t>
  </si>
  <si>
    <t>006gK00000Po2FNQAZ</t>
  </si>
  <si>
    <t>Taiba Education Co – SAP SuccessFactors 2027</t>
  </si>
  <si>
    <t>006gK00000Po2FMQAZ</t>
  </si>
  <si>
    <t>Taiba Education Co – Data &amp; Analytics 2027</t>
  </si>
  <si>
    <t>006gK00000Po2FSQAZ</t>
  </si>
  <si>
    <t>Al Noor Healthcare – SAP Support (AMS) 2027</t>
  </si>
  <si>
    <t>006gK00000Po2FQQAZ</t>
  </si>
  <si>
    <t>Khaleej Finance House – SAP SuccessFactors 2027</t>
  </si>
  <si>
    <t>006gK00000Po2FUQAZ</t>
  </si>
  <si>
    <t>Emirates Facility Mgmt – Data &amp; Analytics 2027</t>
  </si>
  <si>
    <t>006gK00000Po2FDQAZ</t>
  </si>
  <si>
    <t>Red Sea Logistics – Data &amp; Analytics 2027</t>
  </si>
  <si>
    <t>006gK00000Po2FHQAZ</t>
  </si>
  <si>
    <t>Bahrain Telecom Partners – Data &amp; Analytics 2027</t>
  </si>
  <si>
    <t>006gK00000Po2FRQAZ</t>
  </si>
  <si>
    <t>Records (formula)</t>
  </si>
  <si>
    <t>Sum of Expected Revenue</t>
  </si>
  <si>
    <t>Won records</t>
  </si>
  <si>
    <t>Closed records</t>
  </si>
  <si>
    <t>Win rate</t>
  </si>
  <si>
    <t>Average Amount</t>
  </si>
  <si>
    <t>Average Age (days)</t>
  </si>
  <si>
    <t>Live count from Salesforce</t>
  </si>
  <si>
    <t>Matches Salesforce?</t>
  </si>
  <si>
    <t>Win rate is the Win Rate % formula used by D1 and D2.</t>
  </si>
  <si>
    <t>Average Amount and Average Age are the report's summaries.</t>
  </si>
  <si>
    <t>How it works</t>
  </si>
  <si>
    <t>Each figure is calculated from the 1/0 'In Rxx' flags on the Opportunity Data sheet. A flag is 1 when the opportunity meets the report's filters, read from Salesforce on the as-of date. 'Live count from Salesforce' is the record count returned by running the report itself.</t>
  </si>
  <si>
    <t>Folder type</t>
  </si>
  <si>
    <t>Shared with</t>
  </si>
  <si>
    <t>Contents</t>
  </si>
  <si>
    <t>ABA Management Reports</t>
  </si>
  <si>
    <t>ABA_Management_Reports</t>
  </si>
  <si>
    <t>Report folder</t>
  </si>
  <si>
    <t>View: role CEO and subordinates (internal)</t>
  </si>
  <si>
    <t>R01 Revenue Won – YTD by Quarter &amp; Month, R02 Revenue Won – This Month (MTD), R03 Revenue Won – This Quarter (QTD), R04 Revenue Won – This Year vs Last Year, R05 Open Pipeline by Stage, R06 Pipeline by Close Quarter (Next 4), R14 Revenue &amp; Pipeline by Type, R15 Revenue by Lead Source &amp; Campaign, R16 Revenue by Industry &amp; Country</t>
  </si>
  <si>
    <t>ABA Sales Reports</t>
  </si>
  <si>
    <t>ABA_Sales_Reports</t>
  </si>
  <si>
    <t>View: all internal users</t>
  </si>
  <si>
    <t>R07 Pipeline by Salesperson &amp; Stage, R08 Revenue Won by Salesperson – YTD, R09 Win Rate by Salesperson – YTD, R10 Win-Loss Analysis by Reason – YTD, R10a Why We Win – YTD, R10b Why We Lose – YTD, R11 Closing in Next 30 Days, R12 Overdue &amp; Stale Opportunities, R13 Deferred Opportunities, R17 Upcoming Proposal Submissions, R18 Average Deal Size &amp; Sales Cycle</t>
  </si>
  <si>
    <t>ABA_Management_Dashboards</t>
  </si>
  <si>
    <t>Dashboard folder</t>
  </si>
  <si>
    <t>D1 ABA Management – Revenue &amp; Pipeline, D2 ABA Sales Performance &amp; Win-Loss</t>
  </si>
  <si>
    <t>Dashboard viewing</t>
  </si>
  <si>
    <t>Both dashboards run as Suraj OD (System Administrator), so every viewer sees all opportunities.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</si>
</sst>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 mmm\ yyyy"/>
    <numFmt numFmtId="165" formatCode="#,##0;\(#,##0\);\-"/>
    <numFmt numFmtId="166" formatCode="dd\-mmm\-yyyy"/>
    <numFmt numFmtId="167" formatCode="0.0"/>
  </numFmts>
  <fonts count="9">
    <font>
      <sz val="11"/>
      <color theme="1"/>
      <name val="Calibri"/>
      <family val="2"/>
      <scheme val="minor"/>
    </font>
    <font>
      <b/>
      <sz val="14"/>
      <color rgb="FF1F4E5A"/>
      <name val="Arial"/>
    </font>
    <font>
      <i/>
      <sz val="10"/>
      <color rgb="FF566572"/>
      <name val="Arial"/>
    </font>
    <font>
      <sz val="10"/>
      <color rgb="FF0000FF"/>
      <name val="Arial"/>
    </font>
    <font>
      <sz val="10"/>
      <color theme="1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F4E5A"/>
      </patternFill>
    </fill>
    <fill>
      <patternFill patternType="solid">
        <fgColor rgb="FFDCEBEE"/>
      </patternFill>
    </fill>
  </fills>
  <borders count="3">
    <border>
      <left/>
      <right/>
      <top/>
      <bottom/>
      <diagonal/>
    </border>
    <border>
      <left style="thin">
        <color rgb="FFC9D3D8"/>
      </left>
      <right style="thin">
        <color rgb="FFC9D3D8"/>
      </right>
      <top style="thin">
        <color rgb="FFC9D3D8"/>
      </top>
      <bottom style="thin">
        <color rgb="FFC9D3D8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/>
    <xf numFmtId="0" fontId="2" fillId="0" borderId="2" xfId="0" applyFont="1" applyBorder="1"/>
    <xf numFmtId="0" fontId="5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164" fontId="3" fillId="2" borderId="1" xfId="0" applyNumberFormat="1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6" fillId="0" borderId="0" xfId="0" applyFont="1"/>
    <xf numFmtId="0" fontId="7" fillId="0" borderId="0" xfId="0" applyFont="1"/>
    <xf numFmtId="3" fontId="8" fillId="0" borderId="1" xfId="0" applyNumberFormat="1" applyFont="1" applyBorder="1" applyAlignment="1">
      <alignment vertical="top" wrapText="1"/>
    </xf>
    <xf numFmtId="9" fontId="8" fillId="0" borderId="1" xfId="0" applyNumberFormat="1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167" fontId="4" fillId="0" borderId="1" xfId="0" applyNumberFormat="1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portCatalog" displayName="ReportCatalog" ref="A1:AA21">
  <autoFilter ref="A1:AA21" xr:uid="{00000000-0009-0000-0100-000001000000}"/>
  <tableColumns count="27">
    <tableColumn id="1" xr3:uid="{00000000-0010-0000-0000-000001000000}" name="Report ID"/>
    <tableColumn id="2" xr3:uid="{00000000-0010-0000-0000-000002000000}" name="Report name"/>
    <tableColumn id="3" xr3:uid="{00000000-0010-0000-0000-000003000000}" name="Column1"/>
    <tableColumn id="4" xr3:uid="{00000000-0010-0000-0000-000004000000}" name="Column2"/>
    <tableColumn id="5" xr3:uid="{00000000-0010-0000-0000-000005000000}" name="Column3"/>
    <tableColumn id="6" xr3:uid="{00000000-0010-0000-0000-000006000000}" name="Column4"/>
    <tableColumn id="7" xr3:uid="{00000000-0010-0000-0000-000007000000}" name="Description"/>
    <tableColumn id="8" xr3:uid="{00000000-0010-0000-0000-000008000000}" name="Format"/>
    <tableColumn id="9" xr3:uid="{00000000-0010-0000-0000-000009000000}" name="Report type"/>
    <tableColumn id="10" xr3:uid="{00000000-0010-0000-0000-00000A000000}" name="Show Me (scope)"/>
    <tableColumn id="11" xr3:uid="{00000000-0010-0000-0000-00000B000000}" name="Opportunity Status"/>
    <tableColumn id="12" xr3:uid="{00000000-0010-0000-0000-00000C000000}" name="Date field"/>
    <tableColumn id="13" xr3:uid="{00000000-0010-0000-0000-00000D000000}" name="Date range"/>
    <tableColumn id="14" xr3:uid="{00000000-0010-0000-0000-00000E000000}" name="Date range resolved (as of 8 Oct 2026)"/>
    <tableColumn id="15" xr3:uid="{00000000-0010-0000-0000-00000F000000}" name="Field filters"/>
    <tableColumn id="16" xr3:uid="{00000000-0010-0000-0000-000010000000}" name="Filter logic"/>
    <tableColumn id="17" xr3:uid="{00000000-0010-0000-0000-000011000000}" name="Group rows by"/>
    <tableColumn id="18" xr3:uid="{00000000-0010-0000-0000-000012000000}" name="Group columns by"/>
    <tableColumn id="19" xr3:uid="{00000000-0010-0000-0000-000013000000}" name="Detail columns"/>
    <tableColumn id="20" xr3:uid="{00000000-0010-0000-0000-000014000000}" name="Summaries"/>
    <tableColumn id="21" xr3:uid="{00000000-0010-0000-0000-000015000000}" name="Custom summary formula"/>
    <tableColumn id="22" xr3:uid="{00000000-0010-0000-0000-000016000000}" name="Row limit"/>
    <tableColumn id="23" xr3:uid="{00000000-0010-0000-0000-000017000000}" name="Sort"/>
    <tableColumn id="24" xr3:uid="{00000000-0010-0000-0000-000018000000}" name="Report chart"/>
    <tableColumn id="25" xr3:uid="{00000000-0010-0000-0000-000019000000}" name="Show details / subtotals / grand total"/>
    <tableColumn id="26" xr3:uid="{00000000-0010-0000-0000-00001A000000}" name="Used in dashboards &amp; Home page"/>
    <tableColumn id="27" xr3:uid="{00000000-0010-0000-0000-00001B000000}" name="Salesforce report I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portFilters" displayName="ReportFilters" ref="A1:K81">
  <autoFilter ref="A1:K81" xr:uid="{00000000-0009-0000-0100-000002000000}"/>
  <tableColumns count="11">
    <tableColumn id="1" xr3:uid="{00000000-0010-0000-0100-000001000000}" name="Report ID"/>
    <tableColumn id="2" xr3:uid="{00000000-0010-0000-0100-000002000000}" name="Report name"/>
    <tableColumn id="3" xr3:uid="{00000000-0010-0000-0100-000003000000}" name="Filter #"/>
    <tableColumn id="4" xr3:uid="{00000000-0010-0000-0100-000004000000}" name="Filter kind"/>
    <tableColumn id="5" xr3:uid="{00000000-0010-0000-0100-000005000000}" name="Field"/>
    <tableColumn id="6" xr3:uid="{00000000-0010-0000-0100-000006000000}" name="Field API name"/>
    <tableColumn id="7" xr3:uid="{00000000-0010-0000-0100-000007000000}" name="Operator"/>
    <tableColumn id="8" xr3:uid="{00000000-0010-0000-0100-000008000000}" name="Value"/>
    <tableColumn id="9" xr3:uid="{00000000-0010-0000-0100-000009000000}" name="Resolved value (as of 8 Oct 2026)"/>
    <tableColumn id="10" xr3:uid="{00000000-0010-0000-0100-00000A000000}" name="Filter logic"/>
    <tableColumn id="11" xr3:uid="{00000000-0010-0000-0100-00000B000000}" name="Meaning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ortFields" displayName="ReportFields" ref="A1:H172">
  <autoFilter ref="A1:H172" xr:uid="{00000000-0009-0000-0100-000003000000}"/>
  <tableColumns count="8">
    <tableColumn id="1" xr3:uid="{00000000-0010-0000-0200-000001000000}" name="Report ID"/>
    <tableColumn id="2" xr3:uid="{00000000-0010-0000-0200-000002000000}" name="Report name"/>
    <tableColumn id="3" xr3:uid="{00000000-0010-0000-0200-000003000000}" name="Role"/>
    <tableColumn id="4" xr3:uid="{00000000-0010-0000-0200-000004000000}" name="Order"/>
    <tableColumn id="5" xr3:uid="{00000000-0010-0000-0200-000005000000}" name="Field"/>
    <tableColumn id="6" xr3:uid="{00000000-0010-0000-0200-000006000000}" name="Field API name"/>
    <tableColumn id="7" xr3:uid="{00000000-0010-0000-0200-000007000000}" name="Aggregate / granularity"/>
    <tableColumn id="8" xr3:uid="{00000000-0010-0000-0200-000008000000}" name="Sor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shboardSettings" displayName="DashboardSettings" ref="A1:O5">
  <autoFilter ref="A1:O5" xr:uid="{00000000-0009-0000-0100-000004000000}"/>
  <tableColumns count="15">
    <tableColumn id="1" xr3:uid="{00000000-0010-0000-0300-000001000000}" name="Dashboard ID"/>
    <tableColumn id="2" xr3:uid="{00000000-0010-0000-0300-000002000000}" name="Title"/>
    <tableColumn id="3" xr3:uid="{00000000-0010-0000-0300-000003000000}" name="API name"/>
    <tableColumn id="4" xr3:uid="{00000000-0010-0000-0300-000004000000}" name="Folder"/>
    <tableColumn id="5" xr3:uid="{00000000-0010-0000-0300-000005000000}" name="Description"/>
    <tableColumn id="6" xr3:uid="{00000000-0010-0000-0300-000006000000}" name="Dashboard type"/>
    <tableColumn id="7" xr3:uid="{00000000-0010-0000-0300-000007000000}" name="Running user (View as)"/>
    <tableColumn id="8" xr3:uid="{00000000-0010-0000-0300-000008000000}" name="Grid columns"/>
    <tableColumn id="9" xr3:uid="{00000000-0010-0000-0300-000009000000}" name="Row height (px)"/>
    <tableColumn id="10" xr3:uid="{00000000-0010-0000-0300-00000A000000}" name="Components"/>
    <tableColumn id="11" xr3:uid="{00000000-0010-0000-0300-00000B000000}" name="Theme / palette"/>
    <tableColumn id="12" xr3:uid="{00000000-0010-0000-0300-00000C000000}" name="Dashboard filter"/>
    <tableColumn id="13" xr3:uid="{00000000-0010-0000-0300-00000D000000}" name="Filter field"/>
    <tableColumn id="14" xr3:uid="{00000000-0010-0000-0300-00000E000000}" name="Filter options (operator: equals)"/>
    <tableColumn id="15" xr3:uid="{00000000-0010-0000-0300-00000F000000}" name="Shown on Home pag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shboardComponents" displayName="DashboardComponents" ref="A1:V19">
  <autoFilter ref="A1:V19" xr:uid="{00000000-0009-0000-0100-000005000000}"/>
  <tableColumns count="22">
    <tableColumn id="1" xr3:uid="{00000000-0010-0000-0400-000001000000}" name="Dashboard ID"/>
    <tableColumn id="2" xr3:uid="{00000000-0010-0000-0400-000002000000}" name="Dashboard"/>
    <tableColumn id="3" xr3:uid="{00000000-0010-0000-0400-000003000000}" name="Component #"/>
    <tableColumn id="4" xr3:uid="{00000000-0010-0000-0400-000004000000}" name="Header"/>
    <tableColumn id="5" xr3:uid="{00000000-0010-0000-0400-000005000000}" name="Component type"/>
    <tableColumn id="6" xr3:uid="{00000000-0010-0000-0400-000006000000}" name="Grid row"/>
    <tableColumn id="7" xr3:uid="{00000000-0010-0000-0400-000007000000}" name="Grid column"/>
    <tableColumn id="8" xr3:uid="{00000000-0010-0000-0400-000008000000}" name="Row span"/>
    <tableColumn id="9" xr3:uid="{00000000-0010-0000-0400-000009000000}" name="Column span"/>
    <tableColumn id="10" xr3:uid="{00000000-0010-0000-0400-00000A000000}" name="Source report ID"/>
    <tableColumn id="11" xr3:uid="{00000000-0010-0000-0400-00000B000000}" name="Source report"/>
    <tableColumn id="12" xr3:uid="{00000000-0010-0000-0400-00000C000000}" name="Source report filters"/>
    <tableColumn id="13" xr3:uid="{00000000-0010-0000-0400-00000D000000}" name="Measure"/>
    <tableColumn id="14" xr3:uid="{00000000-0010-0000-0400-00000E000000}" name="Groupings (X-axis → series)"/>
    <tableColumn id="15" xr3:uid="{00000000-0010-0000-0400-00000F000000}" name="Sort"/>
    <tableColumn id="16" xr3:uid="{00000000-0010-0000-0400-000010000000}" name="Legend / labels"/>
    <tableColumn id="17" xr3:uid="{00000000-0010-0000-0400-000011000000}" name="Gauge or metric bands"/>
    <tableColumn id="18" xr3:uid="{00000000-0010-0000-0400-000012000000}" name="Table columns"/>
    <tableColumn id="19" xr3:uid="{00000000-0010-0000-0400-000013000000}" name="Table sort"/>
    <tableColumn id="20" xr3:uid="{00000000-0010-0000-0400-000014000000}" name="Responds to dashboard filters"/>
    <tableColumn id="21" xr3:uid="{00000000-0010-0000-0400-000015000000}" name="Drill-down"/>
    <tableColumn id="22" xr3:uid="{00000000-0010-0000-0400-000016000000}" name="Current value (formula)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HomePage" displayName="HomePage" ref="A1:H7">
  <autoFilter ref="A1:H7" xr:uid="{00000000-0009-0000-0100-000006000000}"/>
  <tableColumns count="8">
    <tableColumn id="1" xr3:uid="{00000000-0010-0000-0500-000001000000}" name="Lightning page"/>
    <tableColumn id="2" xr3:uid="{00000000-0010-0000-0500-000002000000}" name="Template"/>
    <tableColumn id="3" xr3:uid="{00000000-0010-0000-0500-000003000000}" name="Assigned to"/>
    <tableColumn id="4" xr3:uid="{00000000-0010-0000-0500-000004000000}" name="Region"/>
    <tableColumn id="5" xr3:uid="{00000000-0010-0000-0500-000005000000}" name="Position"/>
    <tableColumn id="6" xr3:uid="{00000000-0010-0000-0500-000006000000}" name="Component"/>
    <tableColumn id="7" xr3:uid="{00000000-0010-0000-0500-000007000000}" name="Shows"/>
    <tableColumn id="8" xr3:uid="{00000000-0010-0000-0500-000008000000}" name="Setting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OpportunityData" displayName="OpportunityData" ref="A1:AX54">
  <autoFilter ref="A1:AX54" xr:uid="{00000000-0009-0000-0100-000007000000}"/>
  <tableColumns count="50">
    <tableColumn id="1" xr3:uid="{00000000-0010-0000-0600-000001000000}" name="Opportunity ID"/>
    <tableColumn id="2" xr3:uid="{00000000-0010-0000-0600-000002000000}" name="Opportunity Name"/>
    <tableColumn id="3" xr3:uid="{00000000-0010-0000-0600-000003000000}" name="Account Name"/>
    <tableColumn id="4" xr3:uid="{00000000-0010-0000-0600-000004000000}" name="Account: Industry"/>
    <tableColumn id="5" xr3:uid="{00000000-0010-0000-0600-000005000000}" name="Account: Billing Country"/>
    <tableColumn id="6" xr3:uid="{00000000-0010-0000-0600-000006000000}" name="Account: Segment"/>
    <tableColumn id="7" xr3:uid="{00000000-0010-0000-0600-000007000000}" name="Opportunity Owner"/>
    <tableColumn id="8" xr3:uid="{00000000-0010-0000-0600-000008000000}" name="Stage"/>
    <tableColumn id="9" xr3:uid="{00000000-0010-0000-0600-000009000000}" name="Closed"/>
    <tableColumn id="10" xr3:uid="{00000000-0010-0000-0600-00000A000000}" name="Won"/>
    <tableColumn id="11" xr3:uid="{00000000-0010-0000-0600-00000B000000}" name="Probability (%)"/>
    <tableColumn id="12" xr3:uid="{00000000-0010-0000-0600-00000C000000}" name="Amount"/>
    <tableColumn id="13" xr3:uid="{00000000-0010-0000-0600-00000D000000}" name="Expected Revenue"/>
    <tableColumn id="14" xr3:uid="{00000000-0010-0000-0600-00000E000000}" name="Close Date"/>
    <tableColumn id="15" xr3:uid="{00000000-0010-0000-0600-00000F000000}" name="Close Quarter"/>
    <tableColumn id="16" xr3:uid="{00000000-0010-0000-0600-000010000000}" name="Fiscal Year"/>
    <tableColumn id="17" xr3:uid="{00000000-0010-0000-0600-000011000000}" name="Forecast Category"/>
    <tableColumn id="18" xr3:uid="{00000000-0010-0000-0600-000012000000}" name="Type"/>
    <tableColumn id="19" xr3:uid="{00000000-0010-0000-0600-000013000000}" name="Lead Source"/>
    <tableColumn id="20" xr3:uid="{00000000-0010-0000-0600-000014000000}" name="Primary Campaign Source"/>
    <tableColumn id="21" xr3:uid="{00000000-0010-0000-0600-000015000000}" name="Offering"/>
    <tableColumn id="22" xr3:uid="{00000000-0010-0000-0600-000016000000}" name="Proposal Submission Date"/>
    <tableColumn id="23" xr3:uid="{00000000-0010-0000-0600-000017000000}" name="Win/Loss Reason"/>
    <tableColumn id="24" xr3:uid="{00000000-0010-0000-0600-000018000000}" name="Win/Loss Details"/>
    <tableColumn id="25" xr3:uid="{00000000-0010-0000-0600-000019000000}" name="Deferred Date"/>
    <tableColumn id="26" xr3:uid="{00000000-0010-0000-0600-00001A000000}" name="Next Step"/>
    <tableColumn id="27" xr3:uid="{00000000-0010-0000-0600-00001B000000}" name="Last Activity"/>
    <tableColumn id="28" xr3:uid="{00000000-0010-0000-0600-00001C000000}" name="Created Date"/>
    <tableColumn id="29" xr3:uid="{00000000-0010-0000-0600-00001D000000}" name="Age (days)"/>
    <tableColumn id="30" xr3:uid="{00000000-0010-0000-0600-00001E000000}" name="Source of record"/>
    <tableColumn id="31" xr3:uid="{00000000-0010-0000-0600-00001F000000}" name="In R01"/>
    <tableColumn id="32" xr3:uid="{00000000-0010-0000-0600-000020000000}" name="In R02"/>
    <tableColumn id="33" xr3:uid="{00000000-0010-0000-0600-000021000000}" name="In R03"/>
    <tableColumn id="34" xr3:uid="{00000000-0010-0000-0600-000022000000}" name="In R04"/>
    <tableColumn id="35" xr3:uid="{00000000-0010-0000-0600-000023000000}" name="In R05"/>
    <tableColumn id="36" xr3:uid="{00000000-0010-0000-0600-000024000000}" name="In R06"/>
    <tableColumn id="37" xr3:uid="{00000000-0010-0000-0600-000025000000}" name="In R07"/>
    <tableColumn id="38" xr3:uid="{00000000-0010-0000-0600-000026000000}" name="In R08"/>
    <tableColumn id="39" xr3:uid="{00000000-0010-0000-0600-000027000000}" name="In R09"/>
    <tableColumn id="40" xr3:uid="{00000000-0010-0000-0600-000028000000}" name="In R10"/>
    <tableColumn id="41" xr3:uid="{00000000-0010-0000-0600-000029000000}" name="In R10a"/>
    <tableColumn id="42" xr3:uid="{00000000-0010-0000-0600-00002A000000}" name="In R10b"/>
    <tableColumn id="43" xr3:uid="{00000000-0010-0000-0600-00002B000000}" name="In R11"/>
    <tableColumn id="44" xr3:uid="{00000000-0010-0000-0600-00002C000000}" name="In R12"/>
    <tableColumn id="45" xr3:uid="{00000000-0010-0000-0600-00002D000000}" name="In R13"/>
    <tableColumn id="46" xr3:uid="{00000000-0010-0000-0600-00002E000000}" name="In R14"/>
    <tableColumn id="47" xr3:uid="{00000000-0010-0000-0600-00002F000000}" name="In R15"/>
    <tableColumn id="48" xr3:uid="{00000000-0010-0000-0600-000030000000}" name="In R16"/>
    <tableColumn id="49" xr3:uid="{00000000-0010-0000-0600-000031000000}" name="In R17"/>
    <tableColumn id="50" xr3:uid="{00000000-0010-0000-0600-000032000000}" name="In R18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ReportResults" displayName="ReportResults" ref="A1:M21">
  <autoFilter ref="A1:M21" xr:uid="{00000000-0009-0000-0100-000008000000}"/>
  <tableColumns count="13">
    <tableColumn id="1" xr3:uid="{00000000-0010-0000-0700-000001000000}" name="Report ID"/>
    <tableColumn id="2" xr3:uid="{00000000-0010-0000-0700-000002000000}" name="Report name"/>
    <tableColumn id="3" xr3:uid="{00000000-0010-0000-0700-000003000000}" name="Records (formula)"/>
    <tableColumn id="4" xr3:uid="{00000000-0010-0000-0700-000004000000}" name="Sum of Amount"/>
    <tableColumn id="5" xr3:uid="{00000000-0010-0000-0700-000005000000}" name="Sum of Expected Revenue"/>
    <tableColumn id="6" xr3:uid="{00000000-0010-0000-0700-000006000000}" name="Won records"/>
    <tableColumn id="7" xr3:uid="{00000000-0010-0000-0700-000007000000}" name="Closed records"/>
    <tableColumn id="8" xr3:uid="{00000000-0010-0000-0700-000008000000}" name="Win rate"/>
    <tableColumn id="9" xr3:uid="{00000000-0010-0000-0700-000009000000}" name="Average Amount"/>
    <tableColumn id="10" xr3:uid="{00000000-0010-0000-0700-00000A000000}" name="Average Age (days)"/>
    <tableColumn id="11" xr3:uid="{00000000-0010-0000-0700-00000B000000}" name="Live count from Salesforce"/>
    <tableColumn id="12" xr3:uid="{00000000-0010-0000-0700-00000C000000}" name="Matches Salesforce?"/>
    <tableColumn id="13" xr3:uid="{00000000-0010-0000-0700-00000D000000}" name="No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opLeftCell="A6" zoomScale="90" workbookViewId="0">
      <selection activeCell="B12" sqref="B12"/>
    </sheetView>
  </sheetViews>
  <sheetFormatPr defaultRowHeight="14.45"/>
  <cols>
    <col min="1" max="1" width="26" customWidth="1"/>
    <col min="2" max="3" width="70" customWidth="1"/>
  </cols>
  <sheetData>
    <row r="1" spans="1:3" ht="18">
      <c r="A1" s="1" t="s">
        <v>0</v>
      </c>
    </row>
    <row r="2" spans="1:3">
      <c r="A2" s="2" t="s">
        <v>1</v>
      </c>
    </row>
    <row r="4" spans="1:3" ht="30" customHeight="1">
      <c r="A4" s="3" t="s">
        <v>2</v>
      </c>
      <c r="B4" s="3" t="s">
        <v>3</v>
      </c>
      <c r="C4" s="3" t="s">
        <v>4</v>
      </c>
    </row>
    <row r="5" spans="1:3" ht="37.5">
      <c r="A5" s="4" t="s">
        <v>5</v>
      </c>
      <c r="B5" s="5">
        <v>46303</v>
      </c>
      <c r="C5" s="4" t="s">
        <v>6</v>
      </c>
    </row>
    <row r="6" spans="1:3">
      <c r="A6" s="4" t="s">
        <v>7</v>
      </c>
      <c r="B6" s="4" t="s">
        <v>8</v>
      </c>
      <c r="C6" s="4" t="s">
        <v>9</v>
      </c>
    </row>
    <row r="7" spans="1:3">
      <c r="A7" s="4" t="s">
        <v>10</v>
      </c>
      <c r="B7" s="4" t="s">
        <v>11</v>
      </c>
      <c r="C7" s="4" t="s">
        <v>12</v>
      </c>
    </row>
    <row r="8" spans="1:3">
      <c r="A8" s="4" t="s">
        <v>13</v>
      </c>
      <c r="B8" s="4" t="s">
        <v>14</v>
      </c>
      <c r="C8" s="4" t="s">
        <v>15</v>
      </c>
    </row>
    <row r="9" spans="1:3">
      <c r="A9" s="4" t="s">
        <v>16</v>
      </c>
      <c r="B9" s="4" t="s">
        <v>17</v>
      </c>
      <c r="C9" s="4" t="s">
        <v>18</v>
      </c>
    </row>
    <row r="10" spans="1:3">
      <c r="A10" s="4"/>
      <c r="B10" s="4"/>
      <c r="C10" s="4"/>
    </row>
    <row r="11" spans="1:3">
      <c r="A11" s="6" t="s">
        <v>19</v>
      </c>
      <c r="B11" s="6" t="s">
        <v>20</v>
      </c>
      <c r="C11" s="6"/>
    </row>
    <row r="12" spans="1:3" ht="24.95">
      <c r="A12" s="4" t="s">
        <v>21</v>
      </c>
      <c r="B12" s="4" t="s">
        <v>22</v>
      </c>
      <c r="C12" s="4"/>
    </row>
    <row r="13" spans="1:3" ht="24.95">
      <c r="A13" s="4" t="s">
        <v>23</v>
      </c>
      <c r="B13" s="4" t="s">
        <v>24</v>
      </c>
      <c r="C13" s="4"/>
    </row>
    <row r="14" spans="1:3" ht="24.95">
      <c r="A14" s="4" t="s">
        <v>25</v>
      </c>
      <c r="B14" s="4" t="s">
        <v>26</v>
      </c>
      <c r="C14" s="4"/>
    </row>
    <row r="15" spans="1:3">
      <c r="A15" s="4" t="s">
        <v>27</v>
      </c>
      <c r="B15" s="4" t="s">
        <v>28</v>
      </c>
      <c r="C15" s="4"/>
    </row>
    <row r="16" spans="1:3" ht="24.95">
      <c r="A16" s="4" t="s">
        <v>29</v>
      </c>
      <c r="B16" s="4" t="s">
        <v>30</v>
      </c>
      <c r="C16" s="4"/>
    </row>
    <row r="17" spans="1:3" ht="24.95">
      <c r="A17" s="4" t="s">
        <v>31</v>
      </c>
      <c r="B17" s="4" t="s">
        <v>32</v>
      </c>
      <c r="C17" s="4"/>
    </row>
    <row r="18" spans="1:3">
      <c r="A18" s="4" t="s">
        <v>33</v>
      </c>
      <c r="B18" s="4" t="s">
        <v>34</v>
      </c>
      <c r="C18" s="4"/>
    </row>
    <row r="19" spans="1:3" ht="24.95">
      <c r="A19" s="4" t="s">
        <v>35</v>
      </c>
      <c r="B19" s="4" t="s">
        <v>36</v>
      </c>
      <c r="C19" s="4"/>
    </row>
    <row r="20" spans="1:3" ht="24.95">
      <c r="A20" s="4" t="s">
        <v>37</v>
      </c>
      <c r="B20" s="4" t="s">
        <v>38</v>
      </c>
      <c r="C20" s="4"/>
    </row>
    <row r="21" spans="1:3">
      <c r="A21" s="4" t="s">
        <v>39</v>
      </c>
      <c r="B21" s="4" t="s">
        <v>40</v>
      </c>
      <c r="C21" s="4"/>
    </row>
    <row r="22" spans="1:3">
      <c r="A22" s="4"/>
      <c r="B22" s="4"/>
      <c r="C22" s="4"/>
    </row>
    <row r="23" spans="1:3" ht="24.95">
      <c r="A23" s="4" t="s">
        <v>41</v>
      </c>
      <c r="B23" s="4" t="s">
        <v>42</v>
      </c>
      <c r="C23" s="4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1"/>
  <sheetViews>
    <sheetView tabSelected="1" zoomScale="90" workbookViewId="0">
      <pane xSplit="2" ySplit="1" topLeftCell="C2" activePane="bottomRight" state="frozen"/>
      <selection pane="bottomRight" activeCell="F1" sqref="F1:F1048576"/>
      <selection pane="bottomLeft"/>
      <selection pane="topRight"/>
    </sheetView>
  </sheetViews>
  <sheetFormatPr defaultRowHeight="14.45"/>
  <cols>
    <col min="1" max="1" width="9" customWidth="1"/>
    <col min="2" max="3" width="34" customWidth="1"/>
    <col min="4" max="4" width="22" customWidth="1"/>
    <col min="5" max="5" width="40" customWidth="1"/>
    <col min="6" max="6" width="8" customWidth="1"/>
    <col min="7" max="7" width="40" customWidth="1"/>
    <col min="8" max="8" width="10" customWidth="1"/>
    <col min="9" max="9" width="12" customWidth="1"/>
    <col min="10" max="10" width="16" customWidth="1"/>
    <col min="11" max="12" width="20" customWidth="1"/>
    <col min="13" max="13" width="22" customWidth="1"/>
    <col min="14" max="14" width="28" customWidth="1"/>
    <col min="15" max="15" width="48" customWidth="1"/>
    <col min="16" max="16" width="18" customWidth="1"/>
    <col min="17" max="17" width="40" customWidth="1"/>
    <col min="18" max="18" width="24" customWidth="1"/>
    <col min="19" max="19" width="50" customWidth="1"/>
    <col min="20" max="20" width="30" customWidth="1"/>
    <col min="21" max="21" width="36" customWidth="1"/>
    <col min="22" max="22" width="9" customWidth="1"/>
    <col min="23" max="23" width="22" customWidth="1"/>
    <col min="24" max="24" width="46" customWidth="1"/>
    <col min="25" max="25" width="18" customWidth="1"/>
    <col min="26" max="26" width="44" customWidth="1"/>
    <col min="27" max="27" width="20" customWidth="1"/>
  </cols>
  <sheetData>
    <row r="1" spans="1:27" ht="30" customHeight="1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16</v>
      </c>
      <c r="J1" s="3" t="s">
        <v>51</v>
      </c>
      <c r="K1" s="3" t="s">
        <v>52</v>
      </c>
      <c r="L1" s="3" t="s">
        <v>53</v>
      </c>
      <c r="M1" s="3" t="s">
        <v>54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59</v>
      </c>
      <c r="S1" s="3" t="s">
        <v>60</v>
      </c>
      <c r="T1" s="3" t="s">
        <v>61</v>
      </c>
      <c r="U1" s="3" t="s">
        <v>62</v>
      </c>
      <c r="V1" s="3" t="s">
        <v>63</v>
      </c>
      <c r="W1" s="3" t="s">
        <v>64</v>
      </c>
      <c r="X1" s="3" t="s">
        <v>65</v>
      </c>
      <c r="Y1" s="3" t="s">
        <v>66</v>
      </c>
      <c r="Z1" s="3" t="s">
        <v>67</v>
      </c>
      <c r="AA1" s="3" t="s">
        <v>68</v>
      </c>
    </row>
    <row r="2" spans="1:27" ht="24">
      <c r="A2" s="4" t="s">
        <v>69</v>
      </c>
      <c r="B2" s="4" t="s">
        <v>70</v>
      </c>
      <c r="C2" s="4"/>
      <c r="D2" s="4"/>
      <c r="E2" s="4"/>
      <c r="F2" s="4"/>
      <c r="G2" s="4" t="s">
        <v>71</v>
      </c>
      <c r="H2" s="4" t="s">
        <v>72</v>
      </c>
      <c r="I2" s="4" t="s">
        <v>73</v>
      </c>
      <c r="J2" s="4" t="s">
        <v>74</v>
      </c>
      <c r="K2" s="4" t="s">
        <v>75</v>
      </c>
      <c r="L2" s="4" t="s">
        <v>76</v>
      </c>
      <c r="M2" s="4" t="s">
        <v>77</v>
      </c>
      <c r="N2" s="4" t="s">
        <v>78</v>
      </c>
      <c r="O2" s="4" t="s">
        <v>79</v>
      </c>
      <c r="P2" s="4" t="s">
        <v>80</v>
      </c>
      <c r="Q2" s="4" t="s">
        <v>81</v>
      </c>
      <c r="R2" s="4" t="s">
        <v>82</v>
      </c>
      <c r="S2" s="4" t="s">
        <v>83</v>
      </c>
      <c r="T2" s="4" t="s">
        <v>84</v>
      </c>
      <c r="U2" s="4" t="s">
        <v>82</v>
      </c>
      <c r="V2" s="4" t="s">
        <v>85</v>
      </c>
      <c r="W2" s="4" t="s">
        <v>86</v>
      </c>
      <c r="X2" s="4" t="s">
        <v>87</v>
      </c>
      <c r="Y2" s="4" t="s">
        <v>88</v>
      </c>
      <c r="Z2" s="4" t="s">
        <v>89</v>
      </c>
      <c r="AA2" s="4" t="s">
        <v>90</v>
      </c>
    </row>
    <row r="3" spans="1:27" ht="24">
      <c r="A3" s="4" t="s">
        <v>91</v>
      </c>
      <c r="B3" s="4" t="s">
        <v>92</v>
      </c>
      <c r="C3" s="4"/>
      <c r="D3" s="4"/>
      <c r="E3" s="4"/>
      <c r="F3" s="4"/>
      <c r="G3" s="4" t="s">
        <v>93</v>
      </c>
      <c r="H3" s="4" t="s">
        <v>72</v>
      </c>
      <c r="I3" s="4" t="s">
        <v>73</v>
      </c>
      <c r="J3" s="4" t="s">
        <v>74</v>
      </c>
      <c r="K3" s="4" t="s">
        <v>75</v>
      </c>
      <c r="L3" s="4" t="s">
        <v>76</v>
      </c>
      <c r="M3" s="4" t="s">
        <v>94</v>
      </c>
      <c r="N3" s="4" t="s">
        <v>95</v>
      </c>
      <c r="O3" s="4" t="s">
        <v>79</v>
      </c>
      <c r="P3" s="4" t="s">
        <v>80</v>
      </c>
      <c r="Q3" s="4" t="s">
        <v>96</v>
      </c>
      <c r="R3" s="4" t="s">
        <v>82</v>
      </c>
      <c r="S3" s="4" t="s">
        <v>97</v>
      </c>
      <c r="T3" s="4" t="s">
        <v>84</v>
      </c>
      <c r="U3" s="4" t="s">
        <v>82</v>
      </c>
      <c r="V3" s="4" t="s">
        <v>85</v>
      </c>
      <c r="W3" s="4" t="s">
        <v>86</v>
      </c>
      <c r="X3" s="4" t="s">
        <v>98</v>
      </c>
      <c r="Y3" s="4" t="s">
        <v>88</v>
      </c>
      <c r="Z3" s="4" t="s">
        <v>99</v>
      </c>
      <c r="AA3" s="4" t="s">
        <v>100</v>
      </c>
    </row>
    <row r="4" spans="1:27" ht="24">
      <c r="A4" s="4" t="s">
        <v>101</v>
      </c>
      <c r="B4" s="4" t="s">
        <v>102</v>
      </c>
      <c r="C4" s="4"/>
      <c r="D4" s="4"/>
      <c r="E4" s="4"/>
      <c r="F4" s="4"/>
      <c r="G4" s="4" t="s">
        <v>103</v>
      </c>
      <c r="H4" s="4" t="s">
        <v>72</v>
      </c>
      <c r="I4" s="4" t="s">
        <v>73</v>
      </c>
      <c r="J4" s="4" t="s">
        <v>74</v>
      </c>
      <c r="K4" s="4" t="s">
        <v>75</v>
      </c>
      <c r="L4" s="4" t="s">
        <v>76</v>
      </c>
      <c r="M4" s="4" t="s">
        <v>104</v>
      </c>
      <c r="N4" s="4" t="s">
        <v>105</v>
      </c>
      <c r="O4" s="4" t="s">
        <v>79</v>
      </c>
      <c r="P4" s="4" t="s">
        <v>80</v>
      </c>
      <c r="Q4" s="4" t="s">
        <v>96</v>
      </c>
      <c r="R4" s="4" t="s">
        <v>82</v>
      </c>
      <c r="S4" s="4" t="s">
        <v>97</v>
      </c>
      <c r="T4" s="4" t="s">
        <v>84</v>
      </c>
      <c r="U4" s="4" t="s">
        <v>82</v>
      </c>
      <c r="V4" s="4" t="s">
        <v>85</v>
      </c>
      <c r="W4" s="4" t="s">
        <v>86</v>
      </c>
      <c r="X4" s="4" t="s">
        <v>98</v>
      </c>
      <c r="Y4" s="4" t="s">
        <v>88</v>
      </c>
      <c r="Z4" s="4" t="s">
        <v>106</v>
      </c>
      <c r="AA4" s="4" t="s">
        <v>107</v>
      </c>
    </row>
    <row r="5" spans="1:27" ht="24">
      <c r="A5" s="4" t="s">
        <v>108</v>
      </c>
      <c r="B5" s="4" t="s">
        <v>109</v>
      </c>
      <c r="C5" s="4"/>
      <c r="D5" s="4"/>
      <c r="E5" s="4"/>
      <c r="F5" s="4"/>
      <c r="G5" s="4" t="s">
        <v>110</v>
      </c>
      <c r="H5" s="4" t="s">
        <v>111</v>
      </c>
      <c r="I5" s="4" t="s">
        <v>73</v>
      </c>
      <c r="J5" s="4" t="s">
        <v>74</v>
      </c>
      <c r="K5" s="4" t="s">
        <v>75</v>
      </c>
      <c r="L5" s="4" t="s">
        <v>76</v>
      </c>
      <c r="M5" s="4" t="s">
        <v>112</v>
      </c>
      <c r="N5" s="4" t="s">
        <v>113</v>
      </c>
      <c r="O5" s="4" t="s">
        <v>79</v>
      </c>
      <c r="P5" s="4" t="s">
        <v>80</v>
      </c>
      <c r="Q5" s="4" t="s">
        <v>114</v>
      </c>
      <c r="R5" s="4" t="s">
        <v>115</v>
      </c>
      <c r="S5" s="4" t="s">
        <v>116</v>
      </c>
      <c r="T5" s="4" t="s">
        <v>84</v>
      </c>
      <c r="U5" s="4" t="s">
        <v>82</v>
      </c>
      <c r="V5" s="4" t="s">
        <v>85</v>
      </c>
      <c r="W5" s="4" t="s">
        <v>86</v>
      </c>
      <c r="X5" s="4" t="s">
        <v>117</v>
      </c>
      <c r="Y5" s="4" t="s">
        <v>88</v>
      </c>
      <c r="Z5" s="4" t="s">
        <v>118</v>
      </c>
      <c r="AA5" s="4" t="s">
        <v>119</v>
      </c>
    </row>
    <row r="6" spans="1:27" ht="36">
      <c r="A6" s="4" t="s">
        <v>120</v>
      </c>
      <c r="B6" s="4" t="s">
        <v>121</v>
      </c>
      <c r="C6" s="4"/>
      <c r="D6" s="4"/>
      <c r="E6" s="4"/>
      <c r="F6" s="4"/>
      <c r="G6" s="4" t="s">
        <v>122</v>
      </c>
      <c r="H6" s="4" t="s">
        <v>72</v>
      </c>
      <c r="I6" s="4" t="s">
        <v>73</v>
      </c>
      <c r="J6" s="4" t="s">
        <v>74</v>
      </c>
      <c r="K6" s="4" t="s">
        <v>123</v>
      </c>
      <c r="L6" s="4" t="s">
        <v>76</v>
      </c>
      <c r="M6" s="4" t="s">
        <v>124</v>
      </c>
      <c r="N6" s="4" t="s">
        <v>125</v>
      </c>
      <c r="O6" s="4" t="s">
        <v>126</v>
      </c>
      <c r="P6" s="4" t="s">
        <v>80</v>
      </c>
      <c r="Q6" s="4" t="s">
        <v>127</v>
      </c>
      <c r="R6" s="4" t="s">
        <v>82</v>
      </c>
      <c r="S6" s="4" t="s">
        <v>128</v>
      </c>
      <c r="T6" s="4" t="s">
        <v>129</v>
      </c>
      <c r="U6" s="4" t="s">
        <v>82</v>
      </c>
      <c r="V6" s="4" t="s">
        <v>85</v>
      </c>
      <c r="W6" s="4" t="s">
        <v>86</v>
      </c>
      <c r="X6" s="4" t="s">
        <v>130</v>
      </c>
      <c r="Y6" s="4" t="s">
        <v>88</v>
      </c>
      <c r="Z6" s="4" t="s">
        <v>131</v>
      </c>
      <c r="AA6" s="4" t="s">
        <v>132</v>
      </c>
    </row>
    <row r="7" spans="1:27" ht="24">
      <c r="A7" s="4" t="s">
        <v>133</v>
      </c>
      <c r="B7" s="4" t="s">
        <v>134</v>
      </c>
      <c r="C7" s="4"/>
      <c r="D7" s="4"/>
      <c r="E7" s="4"/>
      <c r="F7" s="4"/>
      <c r="G7" s="4" t="s">
        <v>135</v>
      </c>
      <c r="H7" s="4" t="s">
        <v>111</v>
      </c>
      <c r="I7" s="4" t="s">
        <v>73</v>
      </c>
      <c r="J7" s="4" t="s">
        <v>74</v>
      </c>
      <c r="K7" s="4" t="s">
        <v>123</v>
      </c>
      <c r="L7" s="4" t="s">
        <v>76</v>
      </c>
      <c r="M7" s="4" t="s">
        <v>136</v>
      </c>
      <c r="N7" s="4" t="s">
        <v>137</v>
      </c>
      <c r="O7" s="4" t="s">
        <v>126</v>
      </c>
      <c r="P7" s="4" t="s">
        <v>80</v>
      </c>
      <c r="Q7" s="4" t="s">
        <v>138</v>
      </c>
      <c r="R7" s="4" t="s">
        <v>139</v>
      </c>
      <c r="S7" s="4" t="s">
        <v>116</v>
      </c>
      <c r="T7" s="4" t="s">
        <v>84</v>
      </c>
      <c r="U7" s="4" t="s">
        <v>82</v>
      </c>
      <c r="V7" s="4" t="s">
        <v>85</v>
      </c>
      <c r="W7" s="4" t="s">
        <v>86</v>
      </c>
      <c r="X7" s="4" t="s">
        <v>140</v>
      </c>
      <c r="Y7" s="4" t="s">
        <v>88</v>
      </c>
      <c r="Z7" s="4" t="s">
        <v>141</v>
      </c>
      <c r="AA7" s="4" t="s">
        <v>142</v>
      </c>
    </row>
    <row r="8" spans="1:27" ht="24">
      <c r="A8" s="4" t="s">
        <v>143</v>
      </c>
      <c r="B8" s="4" t="s">
        <v>144</v>
      </c>
      <c r="C8" s="4"/>
      <c r="D8" s="4"/>
      <c r="E8" s="4"/>
      <c r="F8" s="4"/>
      <c r="G8" s="4" t="s">
        <v>145</v>
      </c>
      <c r="H8" s="4" t="s">
        <v>111</v>
      </c>
      <c r="I8" s="4" t="s">
        <v>73</v>
      </c>
      <c r="J8" s="4" t="s">
        <v>74</v>
      </c>
      <c r="K8" s="4" t="s">
        <v>123</v>
      </c>
      <c r="L8" s="4" t="s">
        <v>76</v>
      </c>
      <c r="M8" s="4" t="s">
        <v>124</v>
      </c>
      <c r="N8" s="4" t="s">
        <v>125</v>
      </c>
      <c r="O8" s="4" t="s">
        <v>126</v>
      </c>
      <c r="P8" s="4" t="s">
        <v>80</v>
      </c>
      <c r="Q8" s="4" t="s">
        <v>96</v>
      </c>
      <c r="R8" s="4" t="s">
        <v>127</v>
      </c>
      <c r="S8" s="4" t="s">
        <v>116</v>
      </c>
      <c r="T8" s="4" t="s">
        <v>84</v>
      </c>
      <c r="U8" s="4" t="s">
        <v>82</v>
      </c>
      <c r="V8" s="4" t="s">
        <v>85</v>
      </c>
      <c r="W8" s="4" t="s">
        <v>86</v>
      </c>
      <c r="X8" s="4" t="s">
        <v>146</v>
      </c>
      <c r="Y8" s="4" t="s">
        <v>88</v>
      </c>
      <c r="Z8" s="4" t="s">
        <v>147</v>
      </c>
      <c r="AA8" s="4" t="s">
        <v>148</v>
      </c>
    </row>
    <row r="9" spans="1:27" ht="24">
      <c r="A9" s="4" t="s">
        <v>149</v>
      </c>
      <c r="B9" s="4" t="s">
        <v>150</v>
      </c>
      <c r="C9" s="4"/>
      <c r="D9" s="4"/>
      <c r="E9" s="4"/>
      <c r="F9" s="4"/>
      <c r="G9" s="4" t="s">
        <v>151</v>
      </c>
      <c r="H9" s="4" t="s">
        <v>72</v>
      </c>
      <c r="I9" s="4" t="s">
        <v>73</v>
      </c>
      <c r="J9" s="4" t="s">
        <v>74</v>
      </c>
      <c r="K9" s="4" t="s">
        <v>75</v>
      </c>
      <c r="L9" s="4" t="s">
        <v>76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152</v>
      </c>
      <c r="R9" s="4" t="s">
        <v>82</v>
      </c>
      <c r="S9" s="4" t="s">
        <v>97</v>
      </c>
      <c r="T9" s="4" t="s">
        <v>84</v>
      </c>
      <c r="U9" s="4" t="s">
        <v>82</v>
      </c>
      <c r="V9" s="4" t="s">
        <v>85</v>
      </c>
      <c r="W9" s="4" t="s">
        <v>86</v>
      </c>
      <c r="X9" s="4" t="s">
        <v>153</v>
      </c>
      <c r="Y9" s="4" t="s">
        <v>88</v>
      </c>
      <c r="Z9" s="4" t="s">
        <v>154</v>
      </c>
      <c r="AA9" s="4" t="s">
        <v>155</v>
      </c>
    </row>
    <row r="10" spans="1:27" ht="24">
      <c r="A10" s="4" t="s">
        <v>156</v>
      </c>
      <c r="B10" s="4" t="s">
        <v>157</v>
      </c>
      <c r="C10" s="4"/>
      <c r="D10" s="4"/>
      <c r="E10" s="4"/>
      <c r="F10" s="4"/>
      <c r="G10" s="4" t="s">
        <v>158</v>
      </c>
      <c r="H10" s="4" t="s">
        <v>72</v>
      </c>
      <c r="I10" s="4" t="s">
        <v>73</v>
      </c>
      <c r="J10" s="4" t="s">
        <v>74</v>
      </c>
      <c r="K10" s="4" t="s">
        <v>159</v>
      </c>
      <c r="L10" s="4" t="s">
        <v>76</v>
      </c>
      <c r="M10" s="4" t="s">
        <v>77</v>
      </c>
      <c r="N10" s="4" t="s">
        <v>78</v>
      </c>
      <c r="O10" s="4" t="s">
        <v>85</v>
      </c>
      <c r="P10" s="4" t="s">
        <v>80</v>
      </c>
      <c r="Q10" s="4" t="s">
        <v>96</v>
      </c>
      <c r="R10" s="4" t="s">
        <v>82</v>
      </c>
      <c r="S10" s="4" t="s">
        <v>160</v>
      </c>
      <c r="T10" s="4" t="s">
        <v>84</v>
      </c>
      <c r="U10" s="4" t="s">
        <v>161</v>
      </c>
      <c r="V10" s="4" t="s">
        <v>85</v>
      </c>
      <c r="W10" s="4" t="s">
        <v>86</v>
      </c>
      <c r="X10" s="4" t="s">
        <v>98</v>
      </c>
      <c r="Y10" s="4" t="s">
        <v>88</v>
      </c>
      <c r="Z10" s="4" t="s">
        <v>162</v>
      </c>
      <c r="AA10" s="4" t="s">
        <v>163</v>
      </c>
    </row>
    <row r="11" spans="1:27" ht="24">
      <c r="A11" s="4" t="s">
        <v>164</v>
      </c>
      <c r="B11" s="4" t="s">
        <v>165</v>
      </c>
      <c r="C11" s="4"/>
      <c r="D11" s="4"/>
      <c r="E11" s="4"/>
      <c r="F11" s="4"/>
      <c r="G11" s="4" t="s">
        <v>166</v>
      </c>
      <c r="H11" s="4" t="s">
        <v>72</v>
      </c>
      <c r="I11" s="4" t="s">
        <v>73</v>
      </c>
      <c r="J11" s="4" t="s">
        <v>74</v>
      </c>
      <c r="K11" s="4" t="s">
        <v>159</v>
      </c>
      <c r="L11" s="4" t="s">
        <v>76</v>
      </c>
      <c r="M11" s="4" t="s">
        <v>77</v>
      </c>
      <c r="N11" s="4" t="s">
        <v>78</v>
      </c>
      <c r="O11" s="4" t="s">
        <v>85</v>
      </c>
      <c r="P11" s="4" t="s">
        <v>80</v>
      </c>
      <c r="Q11" s="4" t="s">
        <v>167</v>
      </c>
      <c r="R11" s="4" t="s">
        <v>82</v>
      </c>
      <c r="S11" s="4" t="s">
        <v>168</v>
      </c>
      <c r="T11" s="4" t="s">
        <v>84</v>
      </c>
      <c r="U11" s="4" t="s">
        <v>82</v>
      </c>
      <c r="V11" s="4" t="s">
        <v>85</v>
      </c>
      <c r="W11" s="4" t="s">
        <v>86</v>
      </c>
      <c r="X11" s="4" t="s">
        <v>169</v>
      </c>
      <c r="Y11" s="4" t="s">
        <v>88</v>
      </c>
      <c r="Z11" s="4" t="s">
        <v>170</v>
      </c>
      <c r="AA11" s="4" t="s">
        <v>171</v>
      </c>
    </row>
    <row r="12" spans="1:27" ht="24">
      <c r="A12" s="4" t="s">
        <v>172</v>
      </c>
      <c r="B12" s="4" t="s">
        <v>173</v>
      </c>
      <c r="C12" s="4"/>
      <c r="D12" s="4"/>
      <c r="E12" s="4"/>
      <c r="F12" s="4"/>
      <c r="G12" s="4" t="s">
        <v>174</v>
      </c>
      <c r="H12" s="4" t="s">
        <v>72</v>
      </c>
      <c r="I12" s="4" t="s">
        <v>73</v>
      </c>
      <c r="J12" s="4" t="s">
        <v>74</v>
      </c>
      <c r="K12" s="4" t="s">
        <v>75</v>
      </c>
      <c r="L12" s="4" t="s">
        <v>76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175</v>
      </c>
      <c r="R12" s="4" t="s">
        <v>82</v>
      </c>
      <c r="S12" s="4" t="s">
        <v>168</v>
      </c>
      <c r="T12" s="4" t="s">
        <v>84</v>
      </c>
      <c r="U12" s="4" t="s">
        <v>82</v>
      </c>
      <c r="V12" s="4" t="s">
        <v>85</v>
      </c>
      <c r="W12" s="4" t="s">
        <v>86</v>
      </c>
      <c r="X12" s="4" t="s">
        <v>176</v>
      </c>
      <c r="Y12" s="4" t="s">
        <v>88</v>
      </c>
      <c r="Z12" s="4" t="s">
        <v>177</v>
      </c>
      <c r="AA12" s="4" t="s">
        <v>178</v>
      </c>
    </row>
    <row r="13" spans="1:27" ht="24">
      <c r="A13" s="4" t="s">
        <v>179</v>
      </c>
      <c r="B13" s="4" t="s">
        <v>180</v>
      </c>
      <c r="C13" s="4"/>
      <c r="D13" s="4"/>
      <c r="E13" s="4"/>
      <c r="F13" s="4"/>
      <c r="G13" s="4" t="s">
        <v>181</v>
      </c>
      <c r="H13" s="4" t="s">
        <v>72</v>
      </c>
      <c r="I13" s="4" t="s">
        <v>73</v>
      </c>
      <c r="J13" s="4" t="s">
        <v>74</v>
      </c>
      <c r="K13" s="4" t="s">
        <v>75</v>
      </c>
      <c r="L13" s="4" t="s">
        <v>76</v>
      </c>
      <c r="M13" s="4" t="s">
        <v>77</v>
      </c>
      <c r="N13" s="4" t="s">
        <v>78</v>
      </c>
      <c r="O13" s="4" t="s">
        <v>182</v>
      </c>
      <c r="P13" s="4" t="s">
        <v>80</v>
      </c>
      <c r="Q13" s="4" t="s">
        <v>175</v>
      </c>
      <c r="R13" s="4" t="s">
        <v>82</v>
      </c>
      <c r="S13" s="4" t="s">
        <v>168</v>
      </c>
      <c r="T13" s="4" t="s">
        <v>84</v>
      </c>
      <c r="U13" s="4" t="s">
        <v>82</v>
      </c>
      <c r="V13" s="4" t="s">
        <v>85</v>
      </c>
      <c r="W13" s="4" t="s">
        <v>86</v>
      </c>
      <c r="X13" s="4" t="s">
        <v>176</v>
      </c>
      <c r="Y13" s="4" t="s">
        <v>88</v>
      </c>
      <c r="Z13" s="4" t="s">
        <v>183</v>
      </c>
      <c r="AA13" s="4" t="s">
        <v>184</v>
      </c>
    </row>
    <row r="14" spans="1:27" ht="36">
      <c r="A14" s="4" t="s">
        <v>185</v>
      </c>
      <c r="B14" s="4" t="s">
        <v>186</v>
      </c>
      <c r="C14" s="4"/>
      <c r="D14" s="4"/>
      <c r="E14" s="4"/>
      <c r="F14" s="4"/>
      <c r="G14" s="4" t="s">
        <v>187</v>
      </c>
      <c r="H14" s="4" t="s">
        <v>188</v>
      </c>
      <c r="I14" s="4" t="s">
        <v>73</v>
      </c>
      <c r="J14" s="4" t="s">
        <v>74</v>
      </c>
      <c r="K14" s="4" t="s">
        <v>123</v>
      </c>
      <c r="L14" s="4" t="s">
        <v>76</v>
      </c>
      <c r="M14" s="4" t="s">
        <v>189</v>
      </c>
      <c r="N14" s="4" t="s">
        <v>190</v>
      </c>
      <c r="O14" s="4" t="s">
        <v>191</v>
      </c>
      <c r="P14" s="4" t="s">
        <v>80</v>
      </c>
      <c r="Q14" s="4" t="s">
        <v>82</v>
      </c>
      <c r="R14" s="4" t="s">
        <v>82</v>
      </c>
      <c r="S14" s="4" t="s">
        <v>192</v>
      </c>
      <c r="T14" s="4" t="s">
        <v>84</v>
      </c>
      <c r="U14" s="4" t="s">
        <v>82</v>
      </c>
      <c r="V14" s="4" t="s">
        <v>193</v>
      </c>
      <c r="W14" s="4" t="s">
        <v>194</v>
      </c>
      <c r="X14" s="4" t="s">
        <v>98</v>
      </c>
      <c r="Y14" s="4" t="s">
        <v>88</v>
      </c>
      <c r="Z14" s="4" t="s">
        <v>195</v>
      </c>
      <c r="AA14" s="4" t="s">
        <v>196</v>
      </c>
    </row>
    <row r="15" spans="1:27" ht="36">
      <c r="A15" s="4" t="s">
        <v>197</v>
      </c>
      <c r="B15" s="4" t="s">
        <v>198</v>
      </c>
      <c r="C15" s="4"/>
      <c r="D15" s="4"/>
      <c r="E15" s="4"/>
      <c r="F15" s="4"/>
      <c r="G15" s="4" t="s">
        <v>199</v>
      </c>
      <c r="H15" s="4" t="s">
        <v>188</v>
      </c>
      <c r="I15" s="4" t="s">
        <v>73</v>
      </c>
      <c r="J15" s="4" t="s">
        <v>74</v>
      </c>
      <c r="K15" s="4" t="s">
        <v>123</v>
      </c>
      <c r="L15" s="4" t="s">
        <v>76</v>
      </c>
      <c r="M15" s="4" t="s">
        <v>124</v>
      </c>
      <c r="N15" s="4" t="s">
        <v>125</v>
      </c>
      <c r="O15" s="4" t="s">
        <v>200</v>
      </c>
      <c r="P15" s="4" t="s">
        <v>201</v>
      </c>
      <c r="Q15" s="4" t="s">
        <v>82</v>
      </c>
      <c r="R15" s="4" t="s">
        <v>82</v>
      </c>
      <c r="S15" s="4" t="s">
        <v>202</v>
      </c>
      <c r="T15" s="4" t="s">
        <v>84</v>
      </c>
      <c r="U15" s="4" t="s">
        <v>82</v>
      </c>
      <c r="V15" s="4" t="s">
        <v>193</v>
      </c>
      <c r="W15" s="4" t="s">
        <v>203</v>
      </c>
      <c r="X15" s="4" t="s">
        <v>98</v>
      </c>
      <c r="Y15" s="4" t="s">
        <v>88</v>
      </c>
      <c r="Z15" s="4" t="s">
        <v>204</v>
      </c>
      <c r="AA15" s="4" t="s">
        <v>205</v>
      </c>
    </row>
    <row r="16" spans="1:27" ht="24">
      <c r="A16" s="4" t="s">
        <v>206</v>
      </c>
      <c r="B16" s="4" t="s">
        <v>207</v>
      </c>
      <c r="C16" s="4"/>
      <c r="D16" s="4"/>
      <c r="E16" s="4"/>
      <c r="F16" s="4"/>
      <c r="G16" s="4" t="s">
        <v>208</v>
      </c>
      <c r="H16" s="4" t="s">
        <v>72</v>
      </c>
      <c r="I16" s="4" t="s">
        <v>73</v>
      </c>
      <c r="J16" s="4" t="s">
        <v>74</v>
      </c>
      <c r="K16" s="4" t="s">
        <v>75</v>
      </c>
      <c r="L16" s="4" t="s">
        <v>76</v>
      </c>
      <c r="M16" s="4" t="s">
        <v>124</v>
      </c>
      <c r="N16" s="4" t="s">
        <v>125</v>
      </c>
      <c r="O16" s="4" t="s">
        <v>209</v>
      </c>
      <c r="P16" s="4" t="s">
        <v>80</v>
      </c>
      <c r="Q16" s="4" t="s">
        <v>96</v>
      </c>
      <c r="R16" s="4" t="s">
        <v>82</v>
      </c>
      <c r="S16" s="4" t="s">
        <v>210</v>
      </c>
      <c r="T16" s="4" t="s">
        <v>84</v>
      </c>
      <c r="U16" s="4" t="s">
        <v>82</v>
      </c>
      <c r="V16" s="4" t="s">
        <v>85</v>
      </c>
      <c r="W16" s="4" t="s">
        <v>86</v>
      </c>
      <c r="X16" s="4" t="s">
        <v>98</v>
      </c>
      <c r="Y16" s="4" t="s">
        <v>88</v>
      </c>
      <c r="Z16" s="4" t="s">
        <v>211</v>
      </c>
      <c r="AA16" s="4" t="s">
        <v>212</v>
      </c>
    </row>
    <row r="17" spans="1:27" ht="24">
      <c r="A17" s="4" t="s">
        <v>213</v>
      </c>
      <c r="B17" s="4" t="s">
        <v>214</v>
      </c>
      <c r="C17" s="4"/>
      <c r="D17" s="4"/>
      <c r="E17" s="4"/>
      <c r="F17" s="4"/>
      <c r="G17" s="4" t="s">
        <v>215</v>
      </c>
      <c r="H17" s="4" t="s">
        <v>111</v>
      </c>
      <c r="I17" s="4" t="s">
        <v>73</v>
      </c>
      <c r="J17" s="4" t="s">
        <v>74</v>
      </c>
      <c r="K17" s="4" t="s">
        <v>75</v>
      </c>
      <c r="L17" s="4" t="s">
        <v>76</v>
      </c>
      <c r="M17" s="4" t="s">
        <v>77</v>
      </c>
      <c r="N17" s="4" t="s">
        <v>78</v>
      </c>
      <c r="O17" s="4" t="s">
        <v>216</v>
      </c>
      <c r="P17" s="4" t="s">
        <v>80</v>
      </c>
      <c r="Q17" s="4" t="s">
        <v>217</v>
      </c>
      <c r="R17" s="4" t="s">
        <v>218</v>
      </c>
      <c r="S17" s="4" t="s">
        <v>116</v>
      </c>
      <c r="T17" s="4" t="s">
        <v>84</v>
      </c>
      <c r="U17" s="4" t="s">
        <v>82</v>
      </c>
      <c r="V17" s="4" t="s">
        <v>85</v>
      </c>
      <c r="W17" s="4" t="s">
        <v>86</v>
      </c>
      <c r="X17" s="4" t="s">
        <v>219</v>
      </c>
      <c r="Y17" s="4" t="s">
        <v>88</v>
      </c>
      <c r="Z17" s="4" t="s">
        <v>220</v>
      </c>
      <c r="AA17" s="4" t="s">
        <v>221</v>
      </c>
    </row>
    <row r="18" spans="1:27" ht="24">
      <c r="A18" s="4" t="s">
        <v>222</v>
      </c>
      <c r="B18" s="4" t="s">
        <v>223</v>
      </c>
      <c r="C18" s="4"/>
      <c r="D18" s="4"/>
      <c r="E18" s="4"/>
      <c r="F18" s="4"/>
      <c r="G18" s="4" t="s">
        <v>224</v>
      </c>
      <c r="H18" s="4" t="s">
        <v>72</v>
      </c>
      <c r="I18" s="4" t="s">
        <v>73</v>
      </c>
      <c r="J18" s="4" t="s">
        <v>74</v>
      </c>
      <c r="K18" s="4" t="s">
        <v>75</v>
      </c>
      <c r="L18" s="4" t="s">
        <v>76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225</v>
      </c>
      <c r="R18" s="4" t="s">
        <v>82</v>
      </c>
      <c r="S18" s="4" t="s">
        <v>226</v>
      </c>
      <c r="T18" s="4" t="s">
        <v>84</v>
      </c>
      <c r="U18" s="4" t="s">
        <v>82</v>
      </c>
      <c r="V18" s="4" t="s">
        <v>85</v>
      </c>
      <c r="W18" s="4" t="s">
        <v>86</v>
      </c>
      <c r="X18" s="4" t="s">
        <v>227</v>
      </c>
      <c r="Y18" s="4" t="s">
        <v>88</v>
      </c>
      <c r="Z18" s="4" t="s">
        <v>228</v>
      </c>
      <c r="AA18" s="4" t="s">
        <v>229</v>
      </c>
    </row>
    <row r="19" spans="1:27" ht="36">
      <c r="A19" s="4" t="s">
        <v>230</v>
      </c>
      <c r="B19" s="4" t="s">
        <v>231</v>
      </c>
      <c r="C19" s="4"/>
      <c r="D19" s="4"/>
      <c r="E19" s="4"/>
      <c r="F19" s="4"/>
      <c r="G19" s="4" t="s">
        <v>232</v>
      </c>
      <c r="H19" s="4" t="s">
        <v>111</v>
      </c>
      <c r="I19" s="4" t="s">
        <v>73</v>
      </c>
      <c r="J19" s="4" t="s">
        <v>74</v>
      </c>
      <c r="K19" s="4" t="s">
        <v>75</v>
      </c>
      <c r="L19" s="4" t="s">
        <v>76</v>
      </c>
      <c r="M19" s="4" t="s">
        <v>77</v>
      </c>
      <c r="N19" s="4" t="s">
        <v>78</v>
      </c>
      <c r="O19" s="4" t="s">
        <v>79</v>
      </c>
      <c r="P19" s="4" t="s">
        <v>80</v>
      </c>
      <c r="Q19" s="4" t="s">
        <v>233</v>
      </c>
      <c r="R19" s="4" t="s">
        <v>234</v>
      </c>
      <c r="S19" s="4" t="s">
        <v>235</v>
      </c>
      <c r="T19" s="4" t="s">
        <v>84</v>
      </c>
      <c r="U19" s="4" t="s">
        <v>82</v>
      </c>
      <c r="V19" s="4" t="s">
        <v>85</v>
      </c>
      <c r="W19" s="4" t="s">
        <v>86</v>
      </c>
      <c r="X19" s="4" t="s">
        <v>236</v>
      </c>
      <c r="Y19" s="4" t="s">
        <v>88</v>
      </c>
      <c r="Z19" s="4" t="s">
        <v>170</v>
      </c>
      <c r="AA19" s="4" t="s">
        <v>237</v>
      </c>
    </row>
    <row r="20" spans="1:27" ht="24">
      <c r="A20" s="4" t="s">
        <v>238</v>
      </c>
      <c r="B20" s="4" t="s">
        <v>239</v>
      </c>
      <c r="C20" s="4"/>
      <c r="D20" s="4"/>
      <c r="E20" s="4"/>
      <c r="F20" s="4"/>
      <c r="G20" s="4" t="s">
        <v>240</v>
      </c>
      <c r="H20" s="4" t="s">
        <v>188</v>
      </c>
      <c r="I20" s="4" t="s">
        <v>73</v>
      </c>
      <c r="J20" s="4" t="s">
        <v>74</v>
      </c>
      <c r="K20" s="4" t="s">
        <v>123</v>
      </c>
      <c r="L20" s="4" t="s">
        <v>241</v>
      </c>
      <c r="M20" s="4" t="s">
        <v>189</v>
      </c>
      <c r="N20" s="4" t="s">
        <v>190</v>
      </c>
      <c r="O20" s="4" t="s">
        <v>85</v>
      </c>
      <c r="P20" s="4" t="s">
        <v>80</v>
      </c>
      <c r="Q20" s="4" t="s">
        <v>82</v>
      </c>
      <c r="R20" s="4" t="s">
        <v>82</v>
      </c>
      <c r="S20" s="4" t="s">
        <v>242</v>
      </c>
      <c r="T20" s="4" t="s">
        <v>84</v>
      </c>
      <c r="U20" s="4" t="s">
        <v>82</v>
      </c>
      <c r="V20" s="4" t="s">
        <v>85</v>
      </c>
      <c r="W20" s="4" t="s">
        <v>243</v>
      </c>
      <c r="X20" s="4" t="s">
        <v>98</v>
      </c>
      <c r="Y20" s="4" t="s">
        <v>88</v>
      </c>
      <c r="Z20" s="4" t="s">
        <v>170</v>
      </c>
      <c r="AA20" s="4" t="s">
        <v>244</v>
      </c>
    </row>
    <row r="21" spans="1:27" ht="24">
      <c r="A21" s="4" t="s">
        <v>245</v>
      </c>
      <c r="B21" s="4" t="s">
        <v>246</v>
      </c>
      <c r="C21" s="4"/>
      <c r="D21" s="4"/>
      <c r="E21" s="4"/>
      <c r="F21" s="4"/>
      <c r="G21" s="4" t="s">
        <v>247</v>
      </c>
      <c r="H21" s="4" t="s">
        <v>72</v>
      </c>
      <c r="I21" s="4" t="s">
        <v>73</v>
      </c>
      <c r="J21" s="4" t="s">
        <v>74</v>
      </c>
      <c r="K21" s="4" t="s">
        <v>75</v>
      </c>
      <c r="L21" s="4" t="s">
        <v>76</v>
      </c>
      <c r="M21" s="4" t="s">
        <v>124</v>
      </c>
      <c r="N21" s="4" t="s">
        <v>125</v>
      </c>
      <c r="O21" s="4" t="s">
        <v>248</v>
      </c>
      <c r="P21" s="4" t="s">
        <v>80</v>
      </c>
      <c r="Q21" s="4" t="s">
        <v>96</v>
      </c>
      <c r="R21" s="4" t="s">
        <v>82</v>
      </c>
      <c r="S21" s="4" t="s">
        <v>249</v>
      </c>
      <c r="T21" s="4" t="s">
        <v>250</v>
      </c>
      <c r="U21" s="4" t="s">
        <v>82</v>
      </c>
      <c r="V21" s="4" t="s">
        <v>85</v>
      </c>
      <c r="W21" s="4" t="s">
        <v>86</v>
      </c>
      <c r="X21" s="4" t="s">
        <v>98</v>
      </c>
      <c r="Y21" s="4" t="s">
        <v>88</v>
      </c>
      <c r="Z21" s="4" t="s">
        <v>170</v>
      </c>
      <c r="AA21" s="4" t="s">
        <v>251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1"/>
  <sheetViews>
    <sheetView zoomScale="90" workbookViewId="0">
      <pane xSplit="2" ySplit="1" topLeftCell="H2" activePane="bottomRight" state="frozen"/>
      <selection pane="bottomRight" activeCell="K4" sqref="K4"/>
      <selection pane="bottomLeft"/>
      <selection pane="topRight"/>
    </sheetView>
  </sheetViews>
  <sheetFormatPr defaultRowHeight="14.45"/>
  <cols>
    <col min="1" max="1" width="9" customWidth="1"/>
    <col min="2" max="2" width="34" customWidth="1"/>
    <col min="3" max="3" width="12.140625" customWidth="1"/>
    <col min="4" max="4" width="26" customWidth="1"/>
    <col min="5" max="5" width="24" customWidth="1"/>
    <col min="6" max="6" width="34" customWidth="1"/>
    <col min="7" max="7" width="14" customWidth="1"/>
    <col min="8" max="8" width="36" customWidth="1"/>
    <col min="9" max="9" width="30" customWidth="1"/>
    <col min="10" max="10" width="14" customWidth="1"/>
    <col min="11" max="11" width="52" customWidth="1"/>
  </cols>
  <sheetData>
    <row r="1" spans="1:11" ht="30" customHeight="1">
      <c r="A1" s="3" t="s">
        <v>43</v>
      </c>
      <c r="B1" s="3" t="s">
        <v>44</v>
      </c>
      <c r="C1" s="3" t="s">
        <v>252</v>
      </c>
      <c r="D1" s="3" t="s">
        <v>253</v>
      </c>
      <c r="E1" s="3" t="s">
        <v>254</v>
      </c>
      <c r="F1" s="3" t="s">
        <v>255</v>
      </c>
      <c r="G1" s="3" t="s">
        <v>256</v>
      </c>
      <c r="H1" s="3" t="s">
        <v>3</v>
      </c>
      <c r="I1" s="3" t="s">
        <v>257</v>
      </c>
      <c r="J1" s="3" t="s">
        <v>57</v>
      </c>
      <c r="K1" s="3" t="s">
        <v>258</v>
      </c>
    </row>
    <row r="2" spans="1:11" ht="24.95">
      <c r="A2" s="4" t="s">
        <v>69</v>
      </c>
      <c r="B2" s="4" t="s">
        <v>70</v>
      </c>
      <c r="C2" s="4" t="s">
        <v>259</v>
      </c>
      <c r="D2" s="4" t="s">
        <v>260</v>
      </c>
      <c r="E2" s="4" t="s">
        <v>261</v>
      </c>
      <c r="F2" s="4" t="s">
        <v>262</v>
      </c>
      <c r="G2" s="4" t="s">
        <v>263</v>
      </c>
      <c r="H2" s="4" t="s">
        <v>74</v>
      </c>
      <c r="I2" s="4" t="s">
        <v>74</v>
      </c>
      <c r="J2" s="4"/>
      <c r="K2" s="4" t="s">
        <v>264</v>
      </c>
    </row>
    <row r="3" spans="1:11" ht="24.95">
      <c r="A3" s="4" t="s">
        <v>69</v>
      </c>
      <c r="B3" s="4" t="s">
        <v>70</v>
      </c>
      <c r="C3" s="4" t="s">
        <v>265</v>
      </c>
      <c r="D3" s="4" t="s">
        <v>266</v>
      </c>
      <c r="E3" s="4" t="s">
        <v>52</v>
      </c>
      <c r="F3" s="4" t="s">
        <v>267</v>
      </c>
      <c r="G3" s="4" t="s">
        <v>263</v>
      </c>
      <c r="H3" s="4" t="s">
        <v>75</v>
      </c>
      <c r="I3" s="4" t="s">
        <v>75</v>
      </c>
      <c r="J3" s="4"/>
      <c r="K3" s="4" t="s">
        <v>268</v>
      </c>
    </row>
    <row r="4" spans="1:11" ht="24.95">
      <c r="A4" s="4" t="s">
        <v>69</v>
      </c>
      <c r="B4" s="4" t="s">
        <v>70</v>
      </c>
      <c r="C4" s="4" t="s">
        <v>269</v>
      </c>
      <c r="D4" s="4" t="s">
        <v>270</v>
      </c>
      <c r="E4" s="4" t="s">
        <v>76</v>
      </c>
      <c r="F4" s="4" t="s">
        <v>271</v>
      </c>
      <c r="G4" s="4" t="s">
        <v>272</v>
      </c>
      <c r="H4" s="4" t="s">
        <v>77</v>
      </c>
      <c r="I4" s="4" t="s">
        <v>78</v>
      </c>
      <c r="J4" s="4"/>
      <c r="K4" s="4" t="s">
        <v>273</v>
      </c>
    </row>
    <row r="5" spans="1:11" ht="24.95">
      <c r="A5" s="4" t="s">
        <v>69</v>
      </c>
      <c r="B5" s="4" t="s">
        <v>70</v>
      </c>
      <c r="C5" s="4">
        <v>1</v>
      </c>
      <c r="D5" s="4" t="s">
        <v>274</v>
      </c>
      <c r="E5" s="4" t="s">
        <v>127</v>
      </c>
      <c r="F5" s="4" t="s">
        <v>275</v>
      </c>
      <c r="G5" s="4" t="s">
        <v>263</v>
      </c>
      <c r="H5" s="4" t="s">
        <v>276</v>
      </c>
      <c r="I5" s="4" t="s">
        <v>276</v>
      </c>
      <c r="J5" s="4" t="s">
        <v>277</v>
      </c>
      <c r="K5" s="4" t="s">
        <v>278</v>
      </c>
    </row>
    <row r="6" spans="1:11">
      <c r="A6" s="4" t="s">
        <v>91</v>
      </c>
      <c r="B6" s="4" t="s">
        <v>92</v>
      </c>
      <c r="C6" s="4" t="s">
        <v>259</v>
      </c>
      <c r="D6" s="4" t="s">
        <v>260</v>
      </c>
      <c r="E6" s="4" t="s">
        <v>261</v>
      </c>
      <c r="F6" s="4" t="s">
        <v>262</v>
      </c>
      <c r="G6" s="4" t="s">
        <v>263</v>
      </c>
      <c r="H6" s="4" t="s">
        <v>74</v>
      </c>
      <c r="I6" s="4" t="s">
        <v>74</v>
      </c>
      <c r="J6" s="4"/>
      <c r="K6" s="4" t="s">
        <v>264</v>
      </c>
    </row>
    <row r="7" spans="1:11" ht="24.95">
      <c r="A7" s="4" t="s">
        <v>91</v>
      </c>
      <c r="B7" s="4" t="s">
        <v>92</v>
      </c>
      <c r="C7" s="4" t="s">
        <v>265</v>
      </c>
      <c r="D7" s="4" t="s">
        <v>266</v>
      </c>
      <c r="E7" s="4" t="s">
        <v>52</v>
      </c>
      <c r="F7" s="4" t="s">
        <v>267</v>
      </c>
      <c r="G7" s="4" t="s">
        <v>263</v>
      </c>
      <c r="H7" s="4" t="s">
        <v>75</v>
      </c>
      <c r="I7" s="4" t="s">
        <v>75</v>
      </c>
      <c r="J7" s="4"/>
      <c r="K7" s="4" t="s">
        <v>268</v>
      </c>
    </row>
    <row r="8" spans="1:11">
      <c r="A8" s="4" t="s">
        <v>91</v>
      </c>
      <c r="B8" s="4" t="s">
        <v>92</v>
      </c>
      <c r="C8" s="4" t="s">
        <v>269</v>
      </c>
      <c r="D8" s="4" t="s">
        <v>270</v>
      </c>
      <c r="E8" s="4" t="s">
        <v>76</v>
      </c>
      <c r="F8" s="4" t="s">
        <v>271</v>
      </c>
      <c r="G8" s="4" t="s">
        <v>272</v>
      </c>
      <c r="H8" s="4" t="s">
        <v>94</v>
      </c>
      <c r="I8" s="4" t="s">
        <v>95</v>
      </c>
      <c r="J8" s="4"/>
      <c r="K8" s="4" t="s">
        <v>279</v>
      </c>
    </row>
    <row r="9" spans="1:11">
      <c r="A9" s="4" t="s">
        <v>91</v>
      </c>
      <c r="B9" s="4" t="s">
        <v>92</v>
      </c>
      <c r="C9" s="4">
        <v>1</v>
      </c>
      <c r="D9" s="4" t="s">
        <v>274</v>
      </c>
      <c r="E9" s="4" t="s">
        <v>127</v>
      </c>
      <c r="F9" s="4" t="s">
        <v>275</v>
      </c>
      <c r="G9" s="4" t="s">
        <v>263</v>
      </c>
      <c r="H9" s="4" t="s">
        <v>276</v>
      </c>
      <c r="I9" s="4" t="s">
        <v>276</v>
      </c>
      <c r="J9" s="4" t="s">
        <v>277</v>
      </c>
      <c r="K9" s="4" t="s">
        <v>278</v>
      </c>
    </row>
    <row r="10" spans="1:11">
      <c r="A10" s="4" t="s">
        <v>101</v>
      </c>
      <c r="B10" s="4" t="s">
        <v>102</v>
      </c>
      <c r="C10" s="4" t="s">
        <v>259</v>
      </c>
      <c r="D10" s="4" t="s">
        <v>260</v>
      </c>
      <c r="E10" s="4" t="s">
        <v>261</v>
      </c>
      <c r="F10" s="4" t="s">
        <v>262</v>
      </c>
      <c r="G10" s="4" t="s">
        <v>263</v>
      </c>
      <c r="H10" s="4" t="s">
        <v>74</v>
      </c>
      <c r="I10" s="4" t="s">
        <v>74</v>
      </c>
      <c r="J10" s="4"/>
      <c r="K10" s="4" t="s">
        <v>264</v>
      </c>
    </row>
    <row r="11" spans="1:11" ht="24.95">
      <c r="A11" s="4" t="s">
        <v>101</v>
      </c>
      <c r="B11" s="4" t="s">
        <v>102</v>
      </c>
      <c r="C11" s="4" t="s">
        <v>265</v>
      </c>
      <c r="D11" s="4" t="s">
        <v>266</v>
      </c>
      <c r="E11" s="4" t="s">
        <v>52</v>
      </c>
      <c r="F11" s="4" t="s">
        <v>267</v>
      </c>
      <c r="G11" s="4" t="s">
        <v>263</v>
      </c>
      <c r="H11" s="4" t="s">
        <v>75</v>
      </c>
      <c r="I11" s="4" t="s">
        <v>75</v>
      </c>
      <c r="J11" s="4"/>
      <c r="K11" s="4" t="s">
        <v>268</v>
      </c>
    </row>
    <row r="12" spans="1:11">
      <c r="A12" s="4" t="s">
        <v>101</v>
      </c>
      <c r="B12" s="4" t="s">
        <v>102</v>
      </c>
      <c r="C12" s="4" t="s">
        <v>269</v>
      </c>
      <c r="D12" s="4" t="s">
        <v>270</v>
      </c>
      <c r="E12" s="4" t="s">
        <v>76</v>
      </c>
      <c r="F12" s="4" t="s">
        <v>271</v>
      </c>
      <c r="G12" s="4" t="s">
        <v>272</v>
      </c>
      <c r="H12" s="4" t="s">
        <v>104</v>
      </c>
      <c r="I12" s="4" t="s">
        <v>105</v>
      </c>
      <c r="J12" s="4"/>
      <c r="K12" s="4" t="s">
        <v>280</v>
      </c>
    </row>
    <row r="13" spans="1:11">
      <c r="A13" s="4" t="s">
        <v>101</v>
      </c>
      <c r="B13" s="4" t="s">
        <v>102</v>
      </c>
      <c r="C13" s="4">
        <v>1</v>
      </c>
      <c r="D13" s="4" t="s">
        <v>274</v>
      </c>
      <c r="E13" s="4" t="s">
        <v>127</v>
      </c>
      <c r="F13" s="4" t="s">
        <v>275</v>
      </c>
      <c r="G13" s="4" t="s">
        <v>263</v>
      </c>
      <c r="H13" s="4" t="s">
        <v>276</v>
      </c>
      <c r="I13" s="4" t="s">
        <v>276</v>
      </c>
      <c r="J13" s="4" t="s">
        <v>277</v>
      </c>
      <c r="K13" s="4" t="s">
        <v>278</v>
      </c>
    </row>
    <row r="14" spans="1:11">
      <c r="A14" s="4" t="s">
        <v>108</v>
      </c>
      <c r="B14" s="4" t="s">
        <v>109</v>
      </c>
      <c r="C14" s="4" t="s">
        <v>259</v>
      </c>
      <c r="D14" s="4" t="s">
        <v>260</v>
      </c>
      <c r="E14" s="4" t="s">
        <v>261</v>
      </c>
      <c r="F14" s="4" t="s">
        <v>262</v>
      </c>
      <c r="G14" s="4" t="s">
        <v>263</v>
      </c>
      <c r="H14" s="4" t="s">
        <v>74</v>
      </c>
      <c r="I14" s="4" t="s">
        <v>74</v>
      </c>
      <c r="J14" s="4"/>
      <c r="K14" s="4" t="s">
        <v>264</v>
      </c>
    </row>
    <row r="15" spans="1:11" ht="24.95">
      <c r="A15" s="4" t="s">
        <v>108</v>
      </c>
      <c r="B15" s="4" t="s">
        <v>109</v>
      </c>
      <c r="C15" s="4" t="s">
        <v>265</v>
      </c>
      <c r="D15" s="4" t="s">
        <v>266</v>
      </c>
      <c r="E15" s="4" t="s">
        <v>52</v>
      </c>
      <c r="F15" s="4" t="s">
        <v>267</v>
      </c>
      <c r="G15" s="4" t="s">
        <v>263</v>
      </c>
      <c r="H15" s="4" t="s">
        <v>75</v>
      </c>
      <c r="I15" s="4" t="s">
        <v>75</v>
      </c>
      <c r="J15" s="4"/>
      <c r="K15" s="4" t="s">
        <v>268</v>
      </c>
    </row>
    <row r="16" spans="1:11">
      <c r="A16" s="4" t="s">
        <v>108</v>
      </c>
      <c r="B16" s="4" t="s">
        <v>109</v>
      </c>
      <c r="C16" s="4" t="s">
        <v>269</v>
      </c>
      <c r="D16" s="4" t="s">
        <v>270</v>
      </c>
      <c r="E16" s="4" t="s">
        <v>76</v>
      </c>
      <c r="F16" s="4" t="s">
        <v>271</v>
      </c>
      <c r="G16" s="4" t="s">
        <v>272</v>
      </c>
      <c r="H16" s="4" t="s">
        <v>112</v>
      </c>
      <c r="I16" s="4" t="s">
        <v>113</v>
      </c>
      <c r="J16" s="4"/>
      <c r="K16" s="4" t="s">
        <v>281</v>
      </c>
    </row>
    <row r="17" spans="1:11">
      <c r="A17" s="4" t="s">
        <v>108</v>
      </c>
      <c r="B17" s="4" t="s">
        <v>109</v>
      </c>
      <c r="C17" s="4">
        <v>1</v>
      </c>
      <c r="D17" s="4" t="s">
        <v>274</v>
      </c>
      <c r="E17" s="4" t="s">
        <v>127</v>
      </c>
      <c r="F17" s="4" t="s">
        <v>275</v>
      </c>
      <c r="G17" s="4" t="s">
        <v>263</v>
      </c>
      <c r="H17" s="4" t="s">
        <v>276</v>
      </c>
      <c r="I17" s="4" t="s">
        <v>276</v>
      </c>
      <c r="J17" s="4" t="s">
        <v>277</v>
      </c>
      <c r="K17" s="4" t="s">
        <v>278</v>
      </c>
    </row>
    <row r="18" spans="1:11">
      <c r="A18" s="4" t="s">
        <v>120</v>
      </c>
      <c r="B18" s="4" t="s">
        <v>121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74</v>
      </c>
      <c r="I18" s="4" t="s">
        <v>74</v>
      </c>
      <c r="J18" s="4"/>
      <c r="K18" s="4" t="s">
        <v>264</v>
      </c>
    </row>
    <row r="19" spans="1:11" ht="24.95">
      <c r="A19" s="4" t="s">
        <v>120</v>
      </c>
      <c r="B19" s="4" t="s">
        <v>121</v>
      </c>
      <c r="C19" s="4" t="s">
        <v>265</v>
      </c>
      <c r="D19" s="4" t="s">
        <v>266</v>
      </c>
      <c r="E19" s="4" t="s">
        <v>52</v>
      </c>
      <c r="F19" s="4" t="s">
        <v>267</v>
      </c>
      <c r="G19" s="4" t="s">
        <v>263</v>
      </c>
      <c r="H19" s="4" t="s">
        <v>123</v>
      </c>
      <c r="I19" s="4" t="s">
        <v>123</v>
      </c>
      <c r="J19" s="4"/>
      <c r="K19" s="4" t="s">
        <v>282</v>
      </c>
    </row>
    <row r="20" spans="1:11" ht="24.95">
      <c r="A20" s="4" t="s">
        <v>120</v>
      </c>
      <c r="B20" s="4" t="s">
        <v>121</v>
      </c>
      <c r="C20" s="4" t="s">
        <v>269</v>
      </c>
      <c r="D20" s="4" t="s">
        <v>270</v>
      </c>
      <c r="E20" s="4" t="s">
        <v>76</v>
      </c>
      <c r="F20" s="4" t="s">
        <v>271</v>
      </c>
      <c r="G20" s="4" t="s">
        <v>272</v>
      </c>
      <c r="H20" s="4" t="s">
        <v>124</v>
      </c>
      <c r="I20" s="4" t="s">
        <v>125</v>
      </c>
      <c r="J20" s="4"/>
      <c r="K20" s="4" t="s">
        <v>283</v>
      </c>
    </row>
    <row r="21" spans="1:11">
      <c r="A21" s="4" t="s">
        <v>120</v>
      </c>
      <c r="B21" s="4" t="s">
        <v>121</v>
      </c>
      <c r="C21" s="4">
        <v>1</v>
      </c>
      <c r="D21" s="4" t="s">
        <v>274</v>
      </c>
      <c r="E21" s="4" t="s">
        <v>127</v>
      </c>
      <c r="F21" s="4" t="s">
        <v>275</v>
      </c>
      <c r="G21" s="4" t="s">
        <v>284</v>
      </c>
      <c r="H21" s="4" t="s">
        <v>285</v>
      </c>
      <c r="I21" s="4" t="s">
        <v>285</v>
      </c>
      <c r="J21" s="4" t="s">
        <v>277</v>
      </c>
      <c r="K21" s="4" t="s">
        <v>286</v>
      </c>
    </row>
    <row r="22" spans="1:11">
      <c r="A22" s="4" t="s">
        <v>133</v>
      </c>
      <c r="B22" s="4" t="s">
        <v>134</v>
      </c>
      <c r="C22" s="4" t="s">
        <v>259</v>
      </c>
      <c r="D22" s="4" t="s">
        <v>260</v>
      </c>
      <c r="E22" s="4" t="s">
        <v>261</v>
      </c>
      <c r="F22" s="4" t="s">
        <v>262</v>
      </c>
      <c r="G22" s="4" t="s">
        <v>263</v>
      </c>
      <c r="H22" s="4" t="s">
        <v>74</v>
      </c>
      <c r="I22" s="4" t="s">
        <v>74</v>
      </c>
      <c r="J22" s="4"/>
      <c r="K22" s="4" t="s">
        <v>264</v>
      </c>
    </row>
    <row r="23" spans="1:11" ht="24.95">
      <c r="A23" s="4" t="s">
        <v>133</v>
      </c>
      <c r="B23" s="4" t="s">
        <v>134</v>
      </c>
      <c r="C23" s="4" t="s">
        <v>265</v>
      </c>
      <c r="D23" s="4" t="s">
        <v>266</v>
      </c>
      <c r="E23" s="4" t="s">
        <v>52</v>
      </c>
      <c r="F23" s="4" t="s">
        <v>267</v>
      </c>
      <c r="G23" s="4" t="s">
        <v>263</v>
      </c>
      <c r="H23" s="4" t="s">
        <v>123</v>
      </c>
      <c r="I23" s="4" t="s">
        <v>123</v>
      </c>
      <c r="J23" s="4"/>
      <c r="K23" s="4" t="s">
        <v>282</v>
      </c>
    </row>
    <row r="24" spans="1:11">
      <c r="A24" s="4" t="s">
        <v>133</v>
      </c>
      <c r="B24" s="4" t="s">
        <v>134</v>
      </c>
      <c r="C24" s="4" t="s">
        <v>269</v>
      </c>
      <c r="D24" s="4" t="s">
        <v>270</v>
      </c>
      <c r="E24" s="4" t="s">
        <v>76</v>
      </c>
      <c r="F24" s="4" t="s">
        <v>271</v>
      </c>
      <c r="G24" s="4" t="s">
        <v>272</v>
      </c>
      <c r="H24" s="4" t="s">
        <v>136</v>
      </c>
      <c r="I24" s="4" t="s">
        <v>137</v>
      </c>
      <c r="J24" s="4"/>
      <c r="K24" s="4" t="s">
        <v>287</v>
      </c>
    </row>
    <row r="25" spans="1:11">
      <c r="A25" s="4" t="s">
        <v>133</v>
      </c>
      <c r="B25" s="4" t="s">
        <v>134</v>
      </c>
      <c r="C25" s="4">
        <v>1</v>
      </c>
      <c r="D25" s="4" t="s">
        <v>274</v>
      </c>
      <c r="E25" s="4" t="s">
        <v>127</v>
      </c>
      <c r="F25" s="4" t="s">
        <v>275</v>
      </c>
      <c r="G25" s="4" t="s">
        <v>284</v>
      </c>
      <c r="H25" s="4" t="s">
        <v>285</v>
      </c>
      <c r="I25" s="4" t="s">
        <v>285</v>
      </c>
      <c r="J25" s="4" t="s">
        <v>277</v>
      </c>
      <c r="K25" s="4" t="s">
        <v>286</v>
      </c>
    </row>
    <row r="26" spans="1:11">
      <c r="A26" s="4" t="s">
        <v>143</v>
      </c>
      <c r="B26" s="4" t="s">
        <v>144</v>
      </c>
      <c r="C26" s="4" t="s">
        <v>259</v>
      </c>
      <c r="D26" s="4" t="s">
        <v>260</v>
      </c>
      <c r="E26" s="4" t="s">
        <v>261</v>
      </c>
      <c r="F26" s="4" t="s">
        <v>262</v>
      </c>
      <c r="G26" s="4" t="s">
        <v>263</v>
      </c>
      <c r="H26" s="4" t="s">
        <v>74</v>
      </c>
      <c r="I26" s="4" t="s">
        <v>74</v>
      </c>
      <c r="J26" s="4"/>
      <c r="K26" s="4" t="s">
        <v>264</v>
      </c>
    </row>
    <row r="27" spans="1:11" ht="24.95">
      <c r="A27" s="4" t="s">
        <v>143</v>
      </c>
      <c r="B27" s="4" t="s">
        <v>144</v>
      </c>
      <c r="C27" s="4" t="s">
        <v>265</v>
      </c>
      <c r="D27" s="4" t="s">
        <v>266</v>
      </c>
      <c r="E27" s="4" t="s">
        <v>52</v>
      </c>
      <c r="F27" s="4" t="s">
        <v>267</v>
      </c>
      <c r="G27" s="4" t="s">
        <v>263</v>
      </c>
      <c r="H27" s="4" t="s">
        <v>123</v>
      </c>
      <c r="I27" s="4" t="s">
        <v>123</v>
      </c>
      <c r="J27" s="4"/>
      <c r="K27" s="4" t="s">
        <v>282</v>
      </c>
    </row>
    <row r="28" spans="1:11" ht="24.95">
      <c r="A28" s="4" t="s">
        <v>143</v>
      </c>
      <c r="B28" s="4" t="s">
        <v>144</v>
      </c>
      <c r="C28" s="4" t="s">
        <v>269</v>
      </c>
      <c r="D28" s="4" t="s">
        <v>270</v>
      </c>
      <c r="E28" s="4" t="s">
        <v>76</v>
      </c>
      <c r="F28" s="4" t="s">
        <v>271</v>
      </c>
      <c r="G28" s="4" t="s">
        <v>272</v>
      </c>
      <c r="H28" s="4" t="s">
        <v>124</v>
      </c>
      <c r="I28" s="4" t="s">
        <v>125</v>
      </c>
      <c r="J28" s="4"/>
      <c r="K28" s="4" t="s">
        <v>283</v>
      </c>
    </row>
    <row r="29" spans="1:11">
      <c r="A29" s="4" t="s">
        <v>143</v>
      </c>
      <c r="B29" s="4" t="s">
        <v>144</v>
      </c>
      <c r="C29" s="4">
        <v>1</v>
      </c>
      <c r="D29" s="4" t="s">
        <v>274</v>
      </c>
      <c r="E29" s="4" t="s">
        <v>127</v>
      </c>
      <c r="F29" s="4" t="s">
        <v>275</v>
      </c>
      <c r="G29" s="4" t="s">
        <v>284</v>
      </c>
      <c r="H29" s="4" t="s">
        <v>285</v>
      </c>
      <c r="I29" s="4" t="s">
        <v>285</v>
      </c>
      <c r="J29" s="4" t="s">
        <v>277</v>
      </c>
      <c r="K29" s="4" t="s">
        <v>286</v>
      </c>
    </row>
    <row r="30" spans="1:11">
      <c r="A30" s="4" t="s">
        <v>149</v>
      </c>
      <c r="B30" s="4" t="s">
        <v>150</v>
      </c>
      <c r="C30" s="4" t="s">
        <v>259</v>
      </c>
      <c r="D30" s="4" t="s">
        <v>260</v>
      </c>
      <c r="E30" s="4" t="s">
        <v>261</v>
      </c>
      <c r="F30" s="4" t="s">
        <v>262</v>
      </c>
      <c r="G30" s="4" t="s">
        <v>263</v>
      </c>
      <c r="H30" s="4" t="s">
        <v>74</v>
      </c>
      <c r="I30" s="4" t="s">
        <v>74</v>
      </c>
      <c r="J30" s="4"/>
      <c r="K30" s="4" t="s">
        <v>264</v>
      </c>
    </row>
    <row r="31" spans="1:11" ht="24.95">
      <c r="A31" s="4" t="s">
        <v>149</v>
      </c>
      <c r="B31" s="4" t="s">
        <v>150</v>
      </c>
      <c r="C31" s="4" t="s">
        <v>265</v>
      </c>
      <c r="D31" s="4" t="s">
        <v>266</v>
      </c>
      <c r="E31" s="4" t="s">
        <v>52</v>
      </c>
      <c r="F31" s="4" t="s">
        <v>267</v>
      </c>
      <c r="G31" s="4" t="s">
        <v>263</v>
      </c>
      <c r="H31" s="4" t="s">
        <v>75</v>
      </c>
      <c r="I31" s="4" t="s">
        <v>75</v>
      </c>
      <c r="J31" s="4"/>
      <c r="K31" s="4" t="s">
        <v>268</v>
      </c>
    </row>
    <row r="32" spans="1:11">
      <c r="A32" s="4" t="s">
        <v>149</v>
      </c>
      <c r="B32" s="4" t="s">
        <v>150</v>
      </c>
      <c r="C32" s="4" t="s">
        <v>269</v>
      </c>
      <c r="D32" s="4" t="s">
        <v>270</v>
      </c>
      <c r="E32" s="4" t="s">
        <v>76</v>
      </c>
      <c r="F32" s="4" t="s">
        <v>271</v>
      </c>
      <c r="G32" s="4" t="s">
        <v>272</v>
      </c>
      <c r="H32" s="4" t="s">
        <v>77</v>
      </c>
      <c r="I32" s="4" t="s">
        <v>78</v>
      </c>
      <c r="J32" s="4"/>
      <c r="K32" s="4" t="s">
        <v>273</v>
      </c>
    </row>
    <row r="33" spans="1:11">
      <c r="A33" s="4" t="s">
        <v>149</v>
      </c>
      <c r="B33" s="4" t="s">
        <v>150</v>
      </c>
      <c r="C33" s="4">
        <v>1</v>
      </c>
      <c r="D33" s="4" t="s">
        <v>274</v>
      </c>
      <c r="E33" s="4" t="s">
        <v>127</v>
      </c>
      <c r="F33" s="4" t="s">
        <v>275</v>
      </c>
      <c r="G33" s="4" t="s">
        <v>263</v>
      </c>
      <c r="H33" s="4" t="s">
        <v>276</v>
      </c>
      <c r="I33" s="4" t="s">
        <v>276</v>
      </c>
      <c r="J33" s="4" t="s">
        <v>277</v>
      </c>
      <c r="K33" s="4" t="s">
        <v>278</v>
      </c>
    </row>
    <row r="34" spans="1:11">
      <c r="A34" s="4" t="s">
        <v>156</v>
      </c>
      <c r="B34" s="4" t="s">
        <v>157</v>
      </c>
      <c r="C34" s="4" t="s">
        <v>259</v>
      </c>
      <c r="D34" s="4" t="s">
        <v>260</v>
      </c>
      <c r="E34" s="4" t="s">
        <v>261</v>
      </c>
      <c r="F34" s="4" t="s">
        <v>262</v>
      </c>
      <c r="G34" s="4" t="s">
        <v>263</v>
      </c>
      <c r="H34" s="4" t="s">
        <v>74</v>
      </c>
      <c r="I34" s="4" t="s">
        <v>74</v>
      </c>
      <c r="J34" s="4"/>
      <c r="K34" s="4" t="s">
        <v>264</v>
      </c>
    </row>
    <row r="35" spans="1:11" ht="24.95">
      <c r="A35" s="4" t="s">
        <v>156</v>
      </c>
      <c r="B35" s="4" t="s">
        <v>157</v>
      </c>
      <c r="C35" s="4" t="s">
        <v>265</v>
      </c>
      <c r="D35" s="4" t="s">
        <v>266</v>
      </c>
      <c r="E35" s="4" t="s">
        <v>52</v>
      </c>
      <c r="F35" s="4" t="s">
        <v>267</v>
      </c>
      <c r="G35" s="4" t="s">
        <v>263</v>
      </c>
      <c r="H35" s="4" t="s">
        <v>159</v>
      </c>
      <c r="I35" s="4" t="s">
        <v>159</v>
      </c>
      <c r="J35" s="4"/>
      <c r="K35" s="4" t="s">
        <v>288</v>
      </c>
    </row>
    <row r="36" spans="1:11">
      <c r="A36" s="4" t="s">
        <v>156</v>
      </c>
      <c r="B36" s="4" t="s">
        <v>157</v>
      </c>
      <c r="C36" s="4" t="s">
        <v>269</v>
      </c>
      <c r="D36" s="4" t="s">
        <v>270</v>
      </c>
      <c r="E36" s="4" t="s">
        <v>76</v>
      </c>
      <c r="F36" s="4" t="s">
        <v>271</v>
      </c>
      <c r="G36" s="4" t="s">
        <v>272</v>
      </c>
      <c r="H36" s="4" t="s">
        <v>77</v>
      </c>
      <c r="I36" s="4" t="s">
        <v>78</v>
      </c>
      <c r="J36" s="4"/>
      <c r="K36" s="4" t="s">
        <v>273</v>
      </c>
    </row>
    <row r="37" spans="1:11">
      <c r="A37" s="4" t="s">
        <v>164</v>
      </c>
      <c r="B37" s="4" t="s">
        <v>165</v>
      </c>
      <c r="C37" s="4" t="s">
        <v>259</v>
      </c>
      <c r="D37" s="4" t="s">
        <v>260</v>
      </c>
      <c r="E37" s="4" t="s">
        <v>261</v>
      </c>
      <c r="F37" s="4" t="s">
        <v>262</v>
      </c>
      <c r="G37" s="4" t="s">
        <v>263</v>
      </c>
      <c r="H37" s="4" t="s">
        <v>74</v>
      </c>
      <c r="I37" s="4" t="s">
        <v>74</v>
      </c>
      <c r="J37" s="4"/>
      <c r="K37" s="4" t="s">
        <v>264</v>
      </c>
    </row>
    <row r="38" spans="1:11" ht="24.95">
      <c r="A38" s="4" t="s">
        <v>164</v>
      </c>
      <c r="B38" s="4" t="s">
        <v>165</v>
      </c>
      <c r="C38" s="4" t="s">
        <v>265</v>
      </c>
      <c r="D38" s="4" t="s">
        <v>266</v>
      </c>
      <c r="E38" s="4" t="s">
        <v>52</v>
      </c>
      <c r="F38" s="4" t="s">
        <v>267</v>
      </c>
      <c r="G38" s="4" t="s">
        <v>263</v>
      </c>
      <c r="H38" s="4" t="s">
        <v>159</v>
      </c>
      <c r="I38" s="4" t="s">
        <v>159</v>
      </c>
      <c r="J38" s="4"/>
      <c r="K38" s="4" t="s">
        <v>288</v>
      </c>
    </row>
    <row r="39" spans="1:11">
      <c r="A39" s="4" t="s">
        <v>164</v>
      </c>
      <c r="B39" s="4" t="s">
        <v>165</v>
      </c>
      <c r="C39" s="4" t="s">
        <v>269</v>
      </c>
      <c r="D39" s="4" t="s">
        <v>270</v>
      </c>
      <c r="E39" s="4" t="s">
        <v>76</v>
      </c>
      <c r="F39" s="4" t="s">
        <v>271</v>
      </c>
      <c r="G39" s="4" t="s">
        <v>272</v>
      </c>
      <c r="H39" s="4" t="s">
        <v>77</v>
      </c>
      <c r="I39" s="4" t="s">
        <v>78</v>
      </c>
      <c r="J39" s="4"/>
      <c r="K39" s="4" t="s">
        <v>273</v>
      </c>
    </row>
    <row r="40" spans="1:11">
      <c r="A40" s="4" t="s">
        <v>172</v>
      </c>
      <c r="B40" s="4" t="s">
        <v>173</v>
      </c>
      <c r="C40" s="4" t="s">
        <v>259</v>
      </c>
      <c r="D40" s="4" t="s">
        <v>260</v>
      </c>
      <c r="E40" s="4" t="s">
        <v>261</v>
      </c>
      <c r="F40" s="4" t="s">
        <v>262</v>
      </c>
      <c r="G40" s="4" t="s">
        <v>263</v>
      </c>
      <c r="H40" s="4" t="s">
        <v>74</v>
      </c>
      <c r="I40" s="4" t="s">
        <v>74</v>
      </c>
      <c r="J40" s="4"/>
      <c r="K40" s="4" t="s">
        <v>264</v>
      </c>
    </row>
    <row r="41" spans="1:11" ht="24.95">
      <c r="A41" s="4" t="s">
        <v>172</v>
      </c>
      <c r="B41" s="4" t="s">
        <v>173</v>
      </c>
      <c r="C41" s="4" t="s">
        <v>265</v>
      </c>
      <c r="D41" s="4" t="s">
        <v>266</v>
      </c>
      <c r="E41" s="4" t="s">
        <v>52</v>
      </c>
      <c r="F41" s="4" t="s">
        <v>267</v>
      </c>
      <c r="G41" s="4" t="s">
        <v>263</v>
      </c>
      <c r="H41" s="4" t="s">
        <v>75</v>
      </c>
      <c r="I41" s="4" t="s">
        <v>75</v>
      </c>
      <c r="J41" s="4"/>
      <c r="K41" s="4" t="s">
        <v>268</v>
      </c>
    </row>
    <row r="42" spans="1:11">
      <c r="A42" s="4" t="s">
        <v>172</v>
      </c>
      <c r="B42" s="4" t="s">
        <v>173</v>
      </c>
      <c r="C42" s="4" t="s">
        <v>269</v>
      </c>
      <c r="D42" s="4" t="s">
        <v>270</v>
      </c>
      <c r="E42" s="4" t="s">
        <v>76</v>
      </c>
      <c r="F42" s="4" t="s">
        <v>271</v>
      </c>
      <c r="G42" s="4" t="s">
        <v>272</v>
      </c>
      <c r="H42" s="4" t="s">
        <v>77</v>
      </c>
      <c r="I42" s="4" t="s">
        <v>78</v>
      </c>
      <c r="J42" s="4"/>
      <c r="K42" s="4" t="s">
        <v>273</v>
      </c>
    </row>
    <row r="43" spans="1:11">
      <c r="A43" s="4" t="s">
        <v>172</v>
      </c>
      <c r="B43" s="4" t="s">
        <v>173</v>
      </c>
      <c r="C43" s="4">
        <v>1</v>
      </c>
      <c r="D43" s="4" t="s">
        <v>274</v>
      </c>
      <c r="E43" s="4" t="s">
        <v>127</v>
      </c>
      <c r="F43" s="4" t="s">
        <v>275</v>
      </c>
      <c r="G43" s="4" t="s">
        <v>263</v>
      </c>
      <c r="H43" s="4" t="s">
        <v>276</v>
      </c>
      <c r="I43" s="4" t="s">
        <v>276</v>
      </c>
      <c r="J43" s="4" t="s">
        <v>277</v>
      </c>
      <c r="K43" s="4" t="s">
        <v>278</v>
      </c>
    </row>
    <row r="44" spans="1:11">
      <c r="A44" s="4" t="s">
        <v>179</v>
      </c>
      <c r="B44" s="4" t="s">
        <v>180</v>
      </c>
      <c r="C44" s="4" t="s">
        <v>259</v>
      </c>
      <c r="D44" s="4" t="s">
        <v>260</v>
      </c>
      <c r="E44" s="4" t="s">
        <v>261</v>
      </c>
      <c r="F44" s="4" t="s">
        <v>262</v>
      </c>
      <c r="G44" s="4" t="s">
        <v>263</v>
      </c>
      <c r="H44" s="4" t="s">
        <v>74</v>
      </c>
      <c r="I44" s="4" t="s">
        <v>74</v>
      </c>
      <c r="J44" s="4"/>
      <c r="K44" s="4" t="s">
        <v>264</v>
      </c>
    </row>
    <row r="45" spans="1:11" ht="24.95">
      <c r="A45" s="4" t="s">
        <v>179</v>
      </c>
      <c r="B45" s="4" t="s">
        <v>180</v>
      </c>
      <c r="C45" s="4" t="s">
        <v>265</v>
      </c>
      <c r="D45" s="4" t="s">
        <v>266</v>
      </c>
      <c r="E45" s="4" t="s">
        <v>52</v>
      </c>
      <c r="F45" s="4" t="s">
        <v>267</v>
      </c>
      <c r="G45" s="4" t="s">
        <v>263</v>
      </c>
      <c r="H45" s="4" t="s">
        <v>75</v>
      </c>
      <c r="I45" s="4" t="s">
        <v>75</v>
      </c>
      <c r="J45" s="4"/>
      <c r="K45" s="4" t="s">
        <v>268</v>
      </c>
    </row>
    <row r="46" spans="1:11">
      <c r="A46" s="4" t="s">
        <v>179</v>
      </c>
      <c r="B46" s="4" t="s">
        <v>180</v>
      </c>
      <c r="C46" s="4" t="s">
        <v>269</v>
      </c>
      <c r="D46" s="4" t="s">
        <v>270</v>
      </c>
      <c r="E46" s="4" t="s">
        <v>76</v>
      </c>
      <c r="F46" s="4" t="s">
        <v>271</v>
      </c>
      <c r="G46" s="4" t="s">
        <v>272</v>
      </c>
      <c r="H46" s="4" t="s">
        <v>77</v>
      </c>
      <c r="I46" s="4" t="s">
        <v>78</v>
      </c>
      <c r="J46" s="4"/>
      <c r="K46" s="4" t="s">
        <v>273</v>
      </c>
    </row>
    <row r="47" spans="1:11">
      <c r="A47" s="4" t="s">
        <v>179</v>
      </c>
      <c r="B47" s="4" t="s">
        <v>180</v>
      </c>
      <c r="C47" s="4">
        <v>1</v>
      </c>
      <c r="D47" s="4" t="s">
        <v>274</v>
      </c>
      <c r="E47" s="4" t="s">
        <v>127</v>
      </c>
      <c r="F47" s="4" t="s">
        <v>275</v>
      </c>
      <c r="G47" s="4" t="s">
        <v>263</v>
      </c>
      <c r="H47" s="4" t="s">
        <v>289</v>
      </c>
      <c r="I47" s="4" t="s">
        <v>289</v>
      </c>
      <c r="J47" s="4" t="s">
        <v>277</v>
      </c>
      <c r="K47" s="4" t="s">
        <v>290</v>
      </c>
    </row>
    <row r="48" spans="1:11">
      <c r="A48" s="4" t="s">
        <v>185</v>
      </c>
      <c r="B48" s="4" t="s">
        <v>186</v>
      </c>
      <c r="C48" s="4" t="s">
        <v>259</v>
      </c>
      <c r="D48" s="4" t="s">
        <v>260</v>
      </c>
      <c r="E48" s="4" t="s">
        <v>261</v>
      </c>
      <c r="F48" s="4" t="s">
        <v>262</v>
      </c>
      <c r="G48" s="4" t="s">
        <v>263</v>
      </c>
      <c r="H48" s="4" t="s">
        <v>74</v>
      </c>
      <c r="I48" s="4" t="s">
        <v>74</v>
      </c>
      <c r="J48" s="4"/>
      <c r="K48" s="4" t="s">
        <v>264</v>
      </c>
    </row>
    <row r="49" spans="1:11" ht="24.95">
      <c r="A49" s="4" t="s">
        <v>185</v>
      </c>
      <c r="B49" s="4" t="s">
        <v>186</v>
      </c>
      <c r="C49" s="4" t="s">
        <v>265</v>
      </c>
      <c r="D49" s="4" t="s">
        <v>266</v>
      </c>
      <c r="E49" s="4" t="s">
        <v>52</v>
      </c>
      <c r="F49" s="4" t="s">
        <v>267</v>
      </c>
      <c r="G49" s="4" t="s">
        <v>263</v>
      </c>
      <c r="H49" s="4" t="s">
        <v>123</v>
      </c>
      <c r="I49" s="4" t="s">
        <v>123</v>
      </c>
      <c r="J49" s="4"/>
      <c r="K49" s="4" t="s">
        <v>282</v>
      </c>
    </row>
    <row r="50" spans="1:11">
      <c r="A50" s="4" t="s">
        <v>185</v>
      </c>
      <c r="B50" s="4" t="s">
        <v>186</v>
      </c>
      <c r="C50" s="4" t="s">
        <v>269</v>
      </c>
      <c r="D50" s="4" t="s">
        <v>270</v>
      </c>
      <c r="E50" s="4" t="s">
        <v>76</v>
      </c>
      <c r="F50" s="4" t="s">
        <v>271</v>
      </c>
      <c r="G50" s="4" t="s">
        <v>272</v>
      </c>
      <c r="H50" s="4" t="s">
        <v>189</v>
      </c>
      <c r="I50" s="4" t="s">
        <v>190</v>
      </c>
      <c r="J50" s="4"/>
      <c r="K50" s="4" t="s">
        <v>291</v>
      </c>
    </row>
    <row r="51" spans="1:11" ht="37.5">
      <c r="A51" s="4" t="s">
        <v>185</v>
      </c>
      <c r="B51" s="4" t="s">
        <v>186</v>
      </c>
      <c r="C51" s="4">
        <v>1</v>
      </c>
      <c r="D51" s="4" t="s">
        <v>274</v>
      </c>
      <c r="E51" s="4" t="s">
        <v>127</v>
      </c>
      <c r="F51" s="4" t="s">
        <v>275</v>
      </c>
      <c r="G51" s="4" t="s">
        <v>263</v>
      </c>
      <c r="H51" s="4" t="s">
        <v>292</v>
      </c>
      <c r="I51" s="4" t="s">
        <v>292</v>
      </c>
      <c r="J51" s="4" t="s">
        <v>277</v>
      </c>
      <c r="K51" s="4" t="s">
        <v>293</v>
      </c>
    </row>
    <row r="52" spans="1:11">
      <c r="A52" s="4" t="s">
        <v>197</v>
      </c>
      <c r="B52" s="4" t="s">
        <v>198</v>
      </c>
      <c r="C52" s="4" t="s">
        <v>259</v>
      </c>
      <c r="D52" s="4" t="s">
        <v>260</v>
      </c>
      <c r="E52" s="4" t="s">
        <v>261</v>
      </c>
      <c r="F52" s="4" t="s">
        <v>262</v>
      </c>
      <c r="G52" s="4" t="s">
        <v>263</v>
      </c>
      <c r="H52" s="4" t="s">
        <v>74</v>
      </c>
      <c r="I52" s="4" t="s">
        <v>74</v>
      </c>
      <c r="J52" s="4"/>
      <c r="K52" s="4" t="s">
        <v>264</v>
      </c>
    </row>
    <row r="53" spans="1:11" ht="24.95">
      <c r="A53" s="4" t="s">
        <v>197</v>
      </c>
      <c r="B53" s="4" t="s">
        <v>198</v>
      </c>
      <c r="C53" s="4" t="s">
        <v>265</v>
      </c>
      <c r="D53" s="4" t="s">
        <v>266</v>
      </c>
      <c r="E53" s="4" t="s">
        <v>52</v>
      </c>
      <c r="F53" s="4" t="s">
        <v>267</v>
      </c>
      <c r="G53" s="4" t="s">
        <v>263</v>
      </c>
      <c r="H53" s="4" t="s">
        <v>123</v>
      </c>
      <c r="I53" s="4" t="s">
        <v>123</v>
      </c>
      <c r="J53" s="4"/>
      <c r="K53" s="4" t="s">
        <v>282</v>
      </c>
    </row>
    <row r="54" spans="1:11" ht="24.95">
      <c r="A54" s="4" t="s">
        <v>197</v>
      </c>
      <c r="B54" s="4" t="s">
        <v>198</v>
      </c>
      <c r="C54" s="4" t="s">
        <v>269</v>
      </c>
      <c r="D54" s="4" t="s">
        <v>270</v>
      </c>
      <c r="E54" s="4" t="s">
        <v>76</v>
      </c>
      <c r="F54" s="4" t="s">
        <v>271</v>
      </c>
      <c r="G54" s="4" t="s">
        <v>272</v>
      </c>
      <c r="H54" s="4" t="s">
        <v>124</v>
      </c>
      <c r="I54" s="4" t="s">
        <v>125</v>
      </c>
      <c r="J54" s="4"/>
      <c r="K54" s="4" t="s">
        <v>283</v>
      </c>
    </row>
    <row r="55" spans="1:11">
      <c r="A55" s="4" t="s">
        <v>197</v>
      </c>
      <c r="B55" s="4" t="s">
        <v>198</v>
      </c>
      <c r="C55" s="4">
        <v>1</v>
      </c>
      <c r="D55" s="4" t="s">
        <v>274</v>
      </c>
      <c r="E55" s="4" t="s">
        <v>127</v>
      </c>
      <c r="F55" s="4" t="s">
        <v>275</v>
      </c>
      <c r="G55" s="4" t="s">
        <v>284</v>
      </c>
      <c r="H55" s="4" t="s">
        <v>285</v>
      </c>
      <c r="I55" s="4" t="s">
        <v>285</v>
      </c>
      <c r="J55" s="4" t="s">
        <v>201</v>
      </c>
      <c r="K55" s="4" t="s">
        <v>286</v>
      </c>
    </row>
    <row r="56" spans="1:11">
      <c r="A56" s="4" t="s">
        <v>197</v>
      </c>
      <c r="B56" s="4" t="s">
        <v>198</v>
      </c>
      <c r="C56" s="4">
        <v>2</v>
      </c>
      <c r="D56" s="4" t="s">
        <v>274</v>
      </c>
      <c r="E56" s="4" t="s">
        <v>76</v>
      </c>
      <c r="F56" s="4" t="s">
        <v>271</v>
      </c>
      <c r="G56" s="4" t="s">
        <v>294</v>
      </c>
      <c r="H56" s="4" t="s">
        <v>295</v>
      </c>
      <c r="I56" s="4" t="s">
        <v>296</v>
      </c>
      <c r="J56" s="4" t="s">
        <v>201</v>
      </c>
      <c r="K56" s="4" t="s">
        <v>297</v>
      </c>
    </row>
    <row r="57" spans="1:11">
      <c r="A57" s="4" t="s">
        <v>197</v>
      </c>
      <c r="B57" s="4" t="s">
        <v>198</v>
      </c>
      <c r="C57" s="4">
        <v>3</v>
      </c>
      <c r="D57" s="4" t="s">
        <v>274</v>
      </c>
      <c r="E57" s="4" t="s">
        <v>298</v>
      </c>
      <c r="F57" s="4" t="s">
        <v>299</v>
      </c>
      <c r="G57" s="4" t="s">
        <v>294</v>
      </c>
      <c r="H57" s="4" t="s">
        <v>300</v>
      </c>
      <c r="I57" s="4" t="s">
        <v>301</v>
      </c>
      <c r="J57" s="4" t="s">
        <v>201</v>
      </c>
      <c r="K57" s="4" t="s">
        <v>302</v>
      </c>
    </row>
    <row r="58" spans="1:11">
      <c r="A58" s="4" t="s">
        <v>206</v>
      </c>
      <c r="B58" s="4" t="s">
        <v>207</v>
      </c>
      <c r="C58" s="4" t="s">
        <v>259</v>
      </c>
      <c r="D58" s="4" t="s">
        <v>260</v>
      </c>
      <c r="E58" s="4" t="s">
        <v>261</v>
      </c>
      <c r="F58" s="4" t="s">
        <v>262</v>
      </c>
      <c r="G58" s="4" t="s">
        <v>263</v>
      </c>
      <c r="H58" s="4" t="s">
        <v>74</v>
      </c>
      <c r="I58" s="4" t="s">
        <v>74</v>
      </c>
      <c r="J58" s="4"/>
      <c r="K58" s="4" t="s">
        <v>264</v>
      </c>
    </row>
    <row r="59" spans="1:11" ht="24.95">
      <c r="A59" s="4" t="s">
        <v>206</v>
      </c>
      <c r="B59" s="4" t="s">
        <v>207</v>
      </c>
      <c r="C59" s="4" t="s">
        <v>265</v>
      </c>
      <c r="D59" s="4" t="s">
        <v>266</v>
      </c>
      <c r="E59" s="4" t="s">
        <v>52</v>
      </c>
      <c r="F59" s="4" t="s">
        <v>267</v>
      </c>
      <c r="G59" s="4" t="s">
        <v>263</v>
      </c>
      <c r="H59" s="4" t="s">
        <v>75</v>
      </c>
      <c r="I59" s="4" t="s">
        <v>75</v>
      </c>
      <c r="J59" s="4"/>
      <c r="K59" s="4" t="s">
        <v>268</v>
      </c>
    </row>
    <row r="60" spans="1:11" ht="24.95">
      <c r="A60" s="4" t="s">
        <v>206</v>
      </c>
      <c r="B60" s="4" t="s">
        <v>207</v>
      </c>
      <c r="C60" s="4" t="s">
        <v>269</v>
      </c>
      <c r="D60" s="4" t="s">
        <v>270</v>
      </c>
      <c r="E60" s="4" t="s">
        <v>76</v>
      </c>
      <c r="F60" s="4" t="s">
        <v>271</v>
      </c>
      <c r="G60" s="4" t="s">
        <v>272</v>
      </c>
      <c r="H60" s="4" t="s">
        <v>124</v>
      </c>
      <c r="I60" s="4" t="s">
        <v>125</v>
      </c>
      <c r="J60" s="4"/>
      <c r="K60" s="4" t="s">
        <v>283</v>
      </c>
    </row>
    <row r="61" spans="1:11">
      <c r="A61" s="4" t="s">
        <v>206</v>
      </c>
      <c r="B61" s="4" t="s">
        <v>207</v>
      </c>
      <c r="C61" s="4">
        <v>1</v>
      </c>
      <c r="D61" s="4" t="s">
        <v>274</v>
      </c>
      <c r="E61" s="4" t="s">
        <v>127</v>
      </c>
      <c r="F61" s="4" t="s">
        <v>275</v>
      </c>
      <c r="G61" s="4" t="s">
        <v>263</v>
      </c>
      <c r="H61" s="4" t="s">
        <v>303</v>
      </c>
      <c r="I61" s="4" t="s">
        <v>303</v>
      </c>
      <c r="J61" s="4" t="s">
        <v>277</v>
      </c>
      <c r="K61" s="4" t="s">
        <v>304</v>
      </c>
    </row>
    <row r="62" spans="1:11">
      <c r="A62" s="4" t="s">
        <v>213</v>
      </c>
      <c r="B62" s="4" t="s">
        <v>214</v>
      </c>
      <c r="C62" s="4" t="s">
        <v>259</v>
      </c>
      <c r="D62" s="4" t="s">
        <v>260</v>
      </c>
      <c r="E62" s="4" t="s">
        <v>261</v>
      </c>
      <c r="F62" s="4" t="s">
        <v>262</v>
      </c>
      <c r="G62" s="4" t="s">
        <v>263</v>
      </c>
      <c r="H62" s="4" t="s">
        <v>74</v>
      </c>
      <c r="I62" s="4" t="s">
        <v>74</v>
      </c>
      <c r="J62" s="4"/>
      <c r="K62" s="4" t="s">
        <v>264</v>
      </c>
    </row>
    <row r="63" spans="1:11" ht="24.95">
      <c r="A63" s="4" t="s">
        <v>213</v>
      </c>
      <c r="B63" s="4" t="s">
        <v>214</v>
      </c>
      <c r="C63" s="4" t="s">
        <v>265</v>
      </c>
      <c r="D63" s="4" t="s">
        <v>266</v>
      </c>
      <c r="E63" s="4" t="s">
        <v>52</v>
      </c>
      <c r="F63" s="4" t="s">
        <v>267</v>
      </c>
      <c r="G63" s="4" t="s">
        <v>263</v>
      </c>
      <c r="H63" s="4" t="s">
        <v>75</v>
      </c>
      <c r="I63" s="4" t="s">
        <v>75</v>
      </c>
      <c r="J63" s="4"/>
      <c r="K63" s="4" t="s">
        <v>268</v>
      </c>
    </row>
    <row r="64" spans="1:11">
      <c r="A64" s="4" t="s">
        <v>213</v>
      </c>
      <c r="B64" s="4" t="s">
        <v>214</v>
      </c>
      <c r="C64" s="4" t="s">
        <v>269</v>
      </c>
      <c r="D64" s="4" t="s">
        <v>270</v>
      </c>
      <c r="E64" s="4" t="s">
        <v>76</v>
      </c>
      <c r="F64" s="4" t="s">
        <v>271</v>
      </c>
      <c r="G64" s="4" t="s">
        <v>272</v>
      </c>
      <c r="H64" s="4" t="s">
        <v>77</v>
      </c>
      <c r="I64" s="4" t="s">
        <v>78</v>
      </c>
      <c r="J64" s="4"/>
      <c r="K64" s="4" t="s">
        <v>273</v>
      </c>
    </row>
    <row r="65" spans="1:11" ht="24.95">
      <c r="A65" s="4" t="s">
        <v>213</v>
      </c>
      <c r="B65" s="4" t="s">
        <v>214</v>
      </c>
      <c r="C65" s="4">
        <v>1</v>
      </c>
      <c r="D65" s="4" t="s">
        <v>274</v>
      </c>
      <c r="E65" s="4" t="s">
        <v>127</v>
      </c>
      <c r="F65" s="4" t="s">
        <v>275</v>
      </c>
      <c r="G65" s="4" t="s">
        <v>284</v>
      </c>
      <c r="H65" s="4" t="s">
        <v>305</v>
      </c>
      <c r="I65" s="4" t="s">
        <v>305</v>
      </c>
      <c r="J65" s="4" t="s">
        <v>277</v>
      </c>
      <c r="K65" s="4" t="s">
        <v>306</v>
      </c>
    </row>
    <row r="66" spans="1:11">
      <c r="A66" s="4" t="s">
        <v>222</v>
      </c>
      <c r="B66" s="4" t="s">
        <v>223</v>
      </c>
      <c r="C66" s="4" t="s">
        <v>259</v>
      </c>
      <c r="D66" s="4" t="s">
        <v>260</v>
      </c>
      <c r="E66" s="4" t="s">
        <v>261</v>
      </c>
      <c r="F66" s="4" t="s">
        <v>262</v>
      </c>
      <c r="G66" s="4" t="s">
        <v>263</v>
      </c>
      <c r="H66" s="4" t="s">
        <v>74</v>
      </c>
      <c r="I66" s="4" t="s">
        <v>74</v>
      </c>
      <c r="J66" s="4"/>
      <c r="K66" s="4" t="s">
        <v>264</v>
      </c>
    </row>
    <row r="67" spans="1:11" ht="24.95">
      <c r="A67" s="4" t="s">
        <v>222</v>
      </c>
      <c r="B67" s="4" t="s">
        <v>223</v>
      </c>
      <c r="C67" s="4" t="s">
        <v>265</v>
      </c>
      <c r="D67" s="4" t="s">
        <v>266</v>
      </c>
      <c r="E67" s="4" t="s">
        <v>52</v>
      </c>
      <c r="F67" s="4" t="s">
        <v>267</v>
      </c>
      <c r="G67" s="4" t="s">
        <v>263</v>
      </c>
      <c r="H67" s="4" t="s">
        <v>75</v>
      </c>
      <c r="I67" s="4" t="s">
        <v>75</v>
      </c>
      <c r="J67" s="4"/>
      <c r="K67" s="4" t="s">
        <v>268</v>
      </c>
    </row>
    <row r="68" spans="1:11">
      <c r="A68" s="4" t="s">
        <v>222</v>
      </c>
      <c r="B68" s="4" t="s">
        <v>223</v>
      </c>
      <c r="C68" s="4" t="s">
        <v>269</v>
      </c>
      <c r="D68" s="4" t="s">
        <v>270</v>
      </c>
      <c r="E68" s="4" t="s">
        <v>76</v>
      </c>
      <c r="F68" s="4" t="s">
        <v>271</v>
      </c>
      <c r="G68" s="4" t="s">
        <v>272</v>
      </c>
      <c r="H68" s="4" t="s">
        <v>77</v>
      </c>
      <c r="I68" s="4" t="s">
        <v>78</v>
      </c>
      <c r="J68" s="4"/>
      <c r="K68" s="4" t="s">
        <v>273</v>
      </c>
    </row>
    <row r="69" spans="1:11">
      <c r="A69" s="4" t="s">
        <v>222</v>
      </c>
      <c r="B69" s="4" t="s">
        <v>223</v>
      </c>
      <c r="C69" s="4">
        <v>1</v>
      </c>
      <c r="D69" s="4" t="s">
        <v>274</v>
      </c>
      <c r="E69" s="4" t="s">
        <v>127</v>
      </c>
      <c r="F69" s="4" t="s">
        <v>275</v>
      </c>
      <c r="G69" s="4" t="s">
        <v>263</v>
      </c>
      <c r="H69" s="4" t="s">
        <v>276</v>
      </c>
      <c r="I69" s="4" t="s">
        <v>276</v>
      </c>
      <c r="J69" s="4" t="s">
        <v>277</v>
      </c>
      <c r="K69" s="4" t="s">
        <v>278</v>
      </c>
    </row>
    <row r="70" spans="1:11">
      <c r="A70" s="4" t="s">
        <v>230</v>
      </c>
      <c r="B70" s="4" t="s">
        <v>231</v>
      </c>
      <c r="C70" s="4" t="s">
        <v>259</v>
      </c>
      <c r="D70" s="4" t="s">
        <v>260</v>
      </c>
      <c r="E70" s="4" t="s">
        <v>261</v>
      </c>
      <c r="F70" s="4" t="s">
        <v>262</v>
      </c>
      <c r="G70" s="4" t="s">
        <v>263</v>
      </c>
      <c r="H70" s="4" t="s">
        <v>74</v>
      </c>
      <c r="I70" s="4" t="s">
        <v>74</v>
      </c>
      <c r="J70" s="4"/>
      <c r="K70" s="4" t="s">
        <v>264</v>
      </c>
    </row>
    <row r="71" spans="1:11" ht="24.95">
      <c r="A71" s="4" t="s">
        <v>230</v>
      </c>
      <c r="B71" s="4" t="s">
        <v>231</v>
      </c>
      <c r="C71" s="4" t="s">
        <v>265</v>
      </c>
      <c r="D71" s="4" t="s">
        <v>266</v>
      </c>
      <c r="E71" s="4" t="s">
        <v>52</v>
      </c>
      <c r="F71" s="4" t="s">
        <v>267</v>
      </c>
      <c r="G71" s="4" t="s">
        <v>263</v>
      </c>
      <c r="H71" s="4" t="s">
        <v>75</v>
      </c>
      <c r="I71" s="4" t="s">
        <v>75</v>
      </c>
      <c r="J71" s="4"/>
      <c r="K71" s="4" t="s">
        <v>268</v>
      </c>
    </row>
    <row r="72" spans="1:11">
      <c r="A72" s="4" t="s">
        <v>230</v>
      </c>
      <c r="B72" s="4" t="s">
        <v>231</v>
      </c>
      <c r="C72" s="4" t="s">
        <v>269</v>
      </c>
      <c r="D72" s="4" t="s">
        <v>270</v>
      </c>
      <c r="E72" s="4" t="s">
        <v>76</v>
      </c>
      <c r="F72" s="4" t="s">
        <v>271</v>
      </c>
      <c r="G72" s="4" t="s">
        <v>272</v>
      </c>
      <c r="H72" s="4" t="s">
        <v>77</v>
      </c>
      <c r="I72" s="4" t="s">
        <v>78</v>
      </c>
      <c r="J72" s="4"/>
      <c r="K72" s="4" t="s">
        <v>273</v>
      </c>
    </row>
    <row r="73" spans="1:11">
      <c r="A73" s="4" t="s">
        <v>230</v>
      </c>
      <c r="B73" s="4" t="s">
        <v>231</v>
      </c>
      <c r="C73" s="4">
        <v>1</v>
      </c>
      <c r="D73" s="4" t="s">
        <v>274</v>
      </c>
      <c r="E73" s="4" t="s">
        <v>127</v>
      </c>
      <c r="F73" s="4" t="s">
        <v>275</v>
      </c>
      <c r="G73" s="4" t="s">
        <v>263</v>
      </c>
      <c r="H73" s="4" t="s">
        <v>276</v>
      </c>
      <c r="I73" s="4" t="s">
        <v>276</v>
      </c>
      <c r="J73" s="4" t="s">
        <v>277</v>
      </c>
      <c r="K73" s="4" t="s">
        <v>278</v>
      </c>
    </row>
    <row r="74" spans="1:11">
      <c r="A74" s="4" t="s">
        <v>238</v>
      </c>
      <c r="B74" s="4" t="s">
        <v>239</v>
      </c>
      <c r="C74" s="4" t="s">
        <v>259</v>
      </c>
      <c r="D74" s="4" t="s">
        <v>260</v>
      </c>
      <c r="E74" s="4" t="s">
        <v>261</v>
      </c>
      <c r="F74" s="4" t="s">
        <v>262</v>
      </c>
      <c r="G74" s="4" t="s">
        <v>263</v>
      </c>
      <c r="H74" s="4" t="s">
        <v>74</v>
      </c>
      <c r="I74" s="4" t="s">
        <v>74</v>
      </c>
      <c r="J74" s="4"/>
      <c r="K74" s="4" t="s">
        <v>264</v>
      </c>
    </row>
    <row r="75" spans="1:11" ht="24.95">
      <c r="A75" s="4" t="s">
        <v>238</v>
      </c>
      <c r="B75" s="4" t="s">
        <v>239</v>
      </c>
      <c r="C75" s="4" t="s">
        <v>265</v>
      </c>
      <c r="D75" s="4" t="s">
        <v>266</v>
      </c>
      <c r="E75" s="4" t="s">
        <v>52</v>
      </c>
      <c r="F75" s="4" t="s">
        <v>267</v>
      </c>
      <c r="G75" s="4" t="s">
        <v>263</v>
      </c>
      <c r="H75" s="4" t="s">
        <v>123</v>
      </c>
      <c r="I75" s="4" t="s">
        <v>123</v>
      </c>
      <c r="J75" s="4"/>
      <c r="K75" s="4" t="s">
        <v>282</v>
      </c>
    </row>
    <row r="76" spans="1:11" ht="24.95">
      <c r="A76" s="4" t="s">
        <v>238</v>
      </c>
      <c r="B76" s="4" t="s">
        <v>239</v>
      </c>
      <c r="C76" s="4" t="s">
        <v>269</v>
      </c>
      <c r="D76" s="4" t="s">
        <v>270</v>
      </c>
      <c r="E76" s="4" t="s">
        <v>241</v>
      </c>
      <c r="F76" s="4" t="s">
        <v>307</v>
      </c>
      <c r="G76" s="4" t="s">
        <v>272</v>
      </c>
      <c r="H76" s="4" t="s">
        <v>189</v>
      </c>
      <c r="I76" s="4" t="s">
        <v>190</v>
      </c>
      <c r="J76" s="4"/>
      <c r="K76" s="4" t="s">
        <v>308</v>
      </c>
    </row>
    <row r="77" spans="1:11">
      <c r="A77" s="4" t="s">
        <v>245</v>
      </c>
      <c r="B77" s="4" t="s">
        <v>246</v>
      </c>
      <c r="C77" s="4" t="s">
        <v>259</v>
      </c>
      <c r="D77" s="4" t="s">
        <v>260</v>
      </c>
      <c r="E77" s="4" t="s">
        <v>261</v>
      </c>
      <c r="F77" s="4" t="s">
        <v>262</v>
      </c>
      <c r="G77" s="4" t="s">
        <v>263</v>
      </c>
      <c r="H77" s="4" t="s">
        <v>74</v>
      </c>
      <c r="I77" s="4" t="s">
        <v>74</v>
      </c>
      <c r="J77" s="4"/>
      <c r="K77" s="4" t="s">
        <v>264</v>
      </c>
    </row>
    <row r="78" spans="1:11" ht="24.95">
      <c r="A78" s="4" t="s">
        <v>245</v>
      </c>
      <c r="B78" s="4" t="s">
        <v>246</v>
      </c>
      <c r="C78" s="4" t="s">
        <v>265</v>
      </c>
      <c r="D78" s="4" t="s">
        <v>266</v>
      </c>
      <c r="E78" s="4" t="s">
        <v>52</v>
      </c>
      <c r="F78" s="4" t="s">
        <v>267</v>
      </c>
      <c r="G78" s="4" t="s">
        <v>263</v>
      </c>
      <c r="H78" s="4" t="s">
        <v>75</v>
      </c>
      <c r="I78" s="4" t="s">
        <v>75</v>
      </c>
      <c r="J78" s="4"/>
      <c r="K78" s="4" t="s">
        <v>268</v>
      </c>
    </row>
    <row r="79" spans="1:11" ht="24.95">
      <c r="A79" s="4" t="s">
        <v>245</v>
      </c>
      <c r="B79" s="4" t="s">
        <v>246</v>
      </c>
      <c r="C79" s="4" t="s">
        <v>269</v>
      </c>
      <c r="D79" s="4" t="s">
        <v>270</v>
      </c>
      <c r="E79" s="4" t="s">
        <v>76</v>
      </c>
      <c r="F79" s="4" t="s">
        <v>271</v>
      </c>
      <c r="G79" s="4" t="s">
        <v>272</v>
      </c>
      <c r="H79" s="4" t="s">
        <v>124</v>
      </c>
      <c r="I79" s="4" t="s">
        <v>125</v>
      </c>
      <c r="J79" s="4"/>
      <c r="K79" s="4" t="s">
        <v>283</v>
      </c>
    </row>
    <row r="80" spans="1:11">
      <c r="A80" s="4" t="s">
        <v>245</v>
      </c>
      <c r="B80" s="4" t="s">
        <v>246</v>
      </c>
      <c r="C80" s="4">
        <v>1</v>
      </c>
      <c r="D80" s="4" t="s">
        <v>274</v>
      </c>
      <c r="E80" s="4" t="s">
        <v>127</v>
      </c>
      <c r="F80" s="4" t="s">
        <v>275</v>
      </c>
      <c r="G80" s="4" t="s">
        <v>263</v>
      </c>
      <c r="H80" s="4" t="s">
        <v>276</v>
      </c>
      <c r="I80" s="4" t="s">
        <v>276</v>
      </c>
      <c r="J80" s="4" t="s">
        <v>277</v>
      </c>
      <c r="K80" s="4" t="s">
        <v>278</v>
      </c>
    </row>
    <row r="81" spans="1:11">
      <c r="A81" s="4" t="s">
        <v>245</v>
      </c>
      <c r="B81" s="4" t="s">
        <v>246</v>
      </c>
      <c r="C81" s="4">
        <v>2</v>
      </c>
      <c r="D81" s="4" t="s">
        <v>274</v>
      </c>
      <c r="E81" s="4" t="s">
        <v>76</v>
      </c>
      <c r="F81" s="4" t="s">
        <v>271</v>
      </c>
      <c r="G81" s="4" t="s">
        <v>263</v>
      </c>
      <c r="H81" s="4" t="s">
        <v>309</v>
      </c>
      <c r="I81" s="4" t="s">
        <v>310</v>
      </c>
      <c r="J81" s="4" t="s">
        <v>277</v>
      </c>
      <c r="K81" s="4" t="s">
        <v>311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2"/>
  <sheetViews>
    <sheetView zoomScale="90" workbookViewId="0">
      <pane xSplit="2" ySplit="1" topLeftCell="C2" activePane="bottomRight" state="frozen"/>
      <selection pane="bottomRight"/>
      <selection pane="bottomLeft"/>
      <selection pane="topRight"/>
    </sheetView>
  </sheetViews>
  <sheetFormatPr defaultRowHeight="14.45"/>
  <cols>
    <col min="1" max="1" width="9" customWidth="1"/>
    <col min="2" max="2" width="34" customWidth="1"/>
    <col min="3" max="3" width="22" customWidth="1"/>
    <col min="4" max="4" width="7" customWidth="1"/>
    <col min="5" max="5" width="30" customWidth="1"/>
    <col min="6" max="6" width="38" customWidth="1"/>
    <col min="7" max="7" width="30" customWidth="1"/>
    <col min="8" max="8" width="34" customWidth="1"/>
  </cols>
  <sheetData>
    <row r="1" spans="1:8" ht="30" customHeight="1">
      <c r="A1" s="3" t="s">
        <v>43</v>
      </c>
      <c r="B1" s="3" t="s">
        <v>44</v>
      </c>
      <c r="C1" s="3" t="s">
        <v>312</v>
      </c>
      <c r="D1" s="3" t="s">
        <v>313</v>
      </c>
      <c r="E1" s="3" t="s">
        <v>254</v>
      </c>
      <c r="F1" s="3" t="s">
        <v>255</v>
      </c>
      <c r="G1" s="3" t="s">
        <v>314</v>
      </c>
      <c r="H1" s="3" t="s">
        <v>64</v>
      </c>
    </row>
    <row r="2" spans="1:8" ht="24.95">
      <c r="A2" s="4" t="s">
        <v>69</v>
      </c>
      <c r="B2" s="4" t="s">
        <v>70</v>
      </c>
      <c r="C2" s="4" t="s">
        <v>274</v>
      </c>
      <c r="D2" s="4"/>
      <c r="E2" s="4" t="s">
        <v>127</v>
      </c>
      <c r="F2" s="4" t="s">
        <v>275</v>
      </c>
      <c r="G2" s="4" t="s">
        <v>315</v>
      </c>
      <c r="H2" s="4"/>
    </row>
    <row r="3" spans="1:8" ht="24.95">
      <c r="A3" s="4" t="s">
        <v>69</v>
      </c>
      <c r="B3" s="4" t="s">
        <v>70</v>
      </c>
      <c r="C3" s="4" t="s">
        <v>316</v>
      </c>
      <c r="D3" s="4"/>
      <c r="E3" s="4" t="s">
        <v>76</v>
      </c>
      <c r="F3" s="4" t="s">
        <v>271</v>
      </c>
      <c r="G3" s="4" t="s">
        <v>77</v>
      </c>
      <c r="H3" s="4"/>
    </row>
    <row r="4" spans="1:8" ht="24.95">
      <c r="A4" s="4" t="s">
        <v>69</v>
      </c>
      <c r="B4" s="4" t="s">
        <v>70</v>
      </c>
      <c r="C4" s="4" t="s">
        <v>58</v>
      </c>
      <c r="D4" s="4">
        <v>1</v>
      </c>
      <c r="E4" s="4" t="s">
        <v>76</v>
      </c>
      <c r="F4" s="4" t="s">
        <v>271</v>
      </c>
      <c r="G4" s="4" t="s">
        <v>317</v>
      </c>
      <c r="H4" s="4" t="s">
        <v>318</v>
      </c>
    </row>
    <row r="5" spans="1:8" ht="24.95">
      <c r="A5" s="4" t="s">
        <v>69</v>
      </c>
      <c r="B5" s="4" t="s">
        <v>70</v>
      </c>
      <c r="C5" s="4" t="s">
        <v>58</v>
      </c>
      <c r="D5" s="4">
        <v>2</v>
      </c>
      <c r="E5" s="4" t="s">
        <v>319</v>
      </c>
      <c r="F5" s="4" t="s">
        <v>320</v>
      </c>
      <c r="G5" s="4" t="s">
        <v>321</v>
      </c>
      <c r="H5" s="4" t="s">
        <v>318</v>
      </c>
    </row>
    <row r="6" spans="1:8" ht="24.95">
      <c r="A6" s="4" t="s">
        <v>69</v>
      </c>
      <c r="B6" s="4" t="s">
        <v>70</v>
      </c>
      <c r="C6" s="4" t="s">
        <v>322</v>
      </c>
      <c r="D6" s="4">
        <v>1</v>
      </c>
      <c r="E6" s="4" t="s">
        <v>323</v>
      </c>
      <c r="F6" s="4" t="s">
        <v>324</v>
      </c>
      <c r="G6" s="4"/>
      <c r="H6" s="4"/>
    </row>
    <row r="7" spans="1:8" ht="24.95">
      <c r="A7" s="4" t="s">
        <v>69</v>
      </c>
      <c r="B7" s="4" t="s">
        <v>70</v>
      </c>
      <c r="C7" s="4" t="s">
        <v>322</v>
      </c>
      <c r="D7" s="4">
        <v>2</v>
      </c>
      <c r="E7" s="4" t="s">
        <v>325</v>
      </c>
      <c r="F7" s="4" t="s">
        <v>326</v>
      </c>
      <c r="G7" s="4"/>
      <c r="H7" s="4"/>
    </row>
    <row r="8" spans="1:8" ht="24.95">
      <c r="A8" s="4" t="s">
        <v>69</v>
      </c>
      <c r="B8" s="4" t="s">
        <v>70</v>
      </c>
      <c r="C8" s="4" t="s">
        <v>322</v>
      </c>
      <c r="D8" s="4">
        <v>3</v>
      </c>
      <c r="E8" s="4" t="s">
        <v>96</v>
      </c>
      <c r="F8" s="4" t="s">
        <v>327</v>
      </c>
      <c r="G8" s="4"/>
      <c r="H8" s="4"/>
    </row>
    <row r="9" spans="1:8" ht="24.95">
      <c r="A9" s="4" t="s">
        <v>69</v>
      </c>
      <c r="B9" s="4" t="s">
        <v>70</v>
      </c>
      <c r="C9" s="4" t="s">
        <v>322</v>
      </c>
      <c r="D9" s="4">
        <v>4</v>
      </c>
      <c r="E9" s="4" t="s">
        <v>217</v>
      </c>
      <c r="F9" s="4" t="s">
        <v>328</v>
      </c>
      <c r="G9" s="4"/>
      <c r="H9" s="4"/>
    </row>
    <row r="10" spans="1:8" ht="24.95">
      <c r="A10" s="4" t="s">
        <v>69</v>
      </c>
      <c r="B10" s="4" t="s">
        <v>70</v>
      </c>
      <c r="C10" s="4" t="s">
        <v>322</v>
      </c>
      <c r="D10" s="4">
        <v>5</v>
      </c>
      <c r="E10" s="4" t="s">
        <v>116</v>
      </c>
      <c r="F10" s="4" t="s">
        <v>329</v>
      </c>
      <c r="G10" s="4" t="s">
        <v>330</v>
      </c>
      <c r="H10" s="4"/>
    </row>
    <row r="11" spans="1:8" ht="24.95">
      <c r="A11" s="4" t="s">
        <v>69</v>
      </c>
      <c r="B11" s="4" t="s">
        <v>70</v>
      </c>
      <c r="C11" s="4" t="s">
        <v>331</v>
      </c>
      <c r="D11" s="4"/>
      <c r="E11" s="4" t="s">
        <v>76</v>
      </c>
      <c r="F11" s="4" t="s">
        <v>271</v>
      </c>
      <c r="G11" s="4" t="s">
        <v>332</v>
      </c>
      <c r="H11" s="4"/>
    </row>
    <row r="12" spans="1:8">
      <c r="A12" s="4" t="s">
        <v>91</v>
      </c>
      <c r="B12" s="4" t="s">
        <v>92</v>
      </c>
      <c r="C12" s="4" t="s">
        <v>274</v>
      </c>
      <c r="D12" s="4"/>
      <c r="E12" s="4" t="s">
        <v>127</v>
      </c>
      <c r="F12" s="4" t="s">
        <v>275</v>
      </c>
      <c r="G12" s="4" t="s">
        <v>315</v>
      </c>
      <c r="H12" s="4"/>
    </row>
    <row r="13" spans="1:8">
      <c r="A13" s="4" t="s">
        <v>91</v>
      </c>
      <c r="B13" s="4" t="s">
        <v>92</v>
      </c>
      <c r="C13" s="4" t="s">
        <v>316</v>
      </c>
      <c r="D13" s="4"/>
      <c r="E13" s="4" t="s">
        <v>76</v>
      </c>
      <c r="F13" s="4" t="s">
        <v>271</v>
      </c>
      <c r="G13" s="4" t="s">
        <v>94</v>
      </c>
      <c r="H13" s="4"/>
    </row>
    <row r="14" spans="1:8">
      <c r="A14" s="4" t="s">
        <v>91</v>
      </c>
      <c r="B14" s="4" t="s">
        <v>92</v>
      </c>
      <c r="C14" s="4" t="s">
        <v>58</v>
      </c>
      <c r="D14" s="4">
        <v>1</v>
      </c>
      <c r="E14" s="4" t="s">
        <v>96</v>
      </c>
      <c r="F14" s="4" t="s">
        <v>327</v>
      </c>
      <c r="G14" s="4"/>
      <c r="H14" s="4" t="s">
        <v>318</v>
      </c>
    </row>
    <row r="15" spans="1:8">
      <c r="A15" s="4" t="s">
        <v>91</v>
      </c>
      <c r="B15" s="4" t="s">
        <v>92</v>
      </c>
      <c r="C15" s="4" t="s">
        <v>322</v>
      </c>
      <c r="D15" s="4">
        <v>1</v>
      </c>
      <c r="E15" s="4" t="s">
        <v>323</v>
      </c>
      <c r="F15" s="4" t="s">
        <v>324</v>
      </c>
      <c r="G15" s="4"/>
      <c r="H15" s="4"/>
    </row>
    <row r="16" spans="1:8">
      <c r="A16" s="4" t="s">
        <v>91</v>
      </c>
      <c r="B16" s="4" t="s">
        <v>92</v>
      </c>
      <c r="C16" s="4" t="s">
        <v>322</v>
      </c>
      <c r="D16" s="4">
        <v>2</v>
      </c>
      <c r="E16" s="4" t="s">
        <v>325</v>
      </c>
      <c r="F16" s="4" t="s">
        <v>326</v>
      </c>
      <c r="G16" s="4"/>
      <c r="H16" s="4"/>
    </row>
    <row r="17" spans="1:8">
      <c r="A17" s="4" t="s">
        <v>91</v>
      </c>
      <c r="B17" s="4" t="s">
        <v>92</v>
      </c>
      <c r="C17" s="4" t="s">
        <v>322</v>
      </c>
      <c r="D17" s="4">
        <v>3</v>
      </c>
      <c r="E17" s="4" t="s">
        <v>116</v>
      </c>
      <c r="F17" s="4" t="s">
        <v>329</v>
      </c>
      <c r="G17" s="4" t="s">
        <v>330</v>
      </c>
      <c r="H17" s="4"/>
    </row>
    <row r="18" spans="1:8">
      <c r="A18" s="4" t="s">
        <v>91</v>
      </c>
      <c r="B18" s="4" t="s">
        <v>92</v>
      </c>
      <c r="C18" s="4" t="s">
        <v>322</v>
      </c>
      <c r="D18" s="4">
        <v>4</v>
      </c>
      <c r="E18" s="4" t="s">
        <v>76</v>
      </c>
      <c r="F18" s="4" t="s">
        <v>271</v>
      </c>
      <c r="G18" s="4"/>
      <c r="H18" s="4"/>
    </row>
    <row r="19" spans="1:8">
      <c r="A19" s="4" t="s">
        <v>101</v>
      </c>
      <c r="B19" s="4" t="s">
        <v>102</v>
      </c>
      <c r="C19" s="4" t="s">
        <v>274</v>
      </c>
      <c r="D19" s="4"/>
      <c r="E19" s="4" t="s">
        <v>127</v>
      </c>
      <c r="F19" s="4" t="s">
        <v>275</v>
      </c>
      <c r="G19" s="4" t="s">
        <v>315</v>
      </c>
      <c r="H19" s="4"/>
    </row>
    <row r="20" spans="1:8">
      <c r="A20" s="4" t="s">
        <v>101</v>
      </c>
      <c r="B20" s="4" t="s">
        <v>102</v>
      </c>
      <c r="C20" s="4" t="s">
        <v>316</v>
      </c>
      <c r="D20" s="4"/>
      <c r="E20" s="4" t="s">
        <v>76</v>
      </c>
      <c r="F20" s="4" t="s">
        <v>271</v>
      </c>
      <c r="G20" s="4" t="s">
        <v>104</v>
      </c>
      <c r="H20" s="4"/>
    </row>
    <row r="21" spans="1:8">
      <c r="A21" s="4" t="s">
        <v>101</v>
      </c>
      <c r="B21" s="4" t="s">
        <v>102</v>
      </c>
      <c r="C21" s="4" t="s">
        <v>58</v>
      </c>
      <c r="D21" s="4">
        <v>1</v>
      </c>
      <c r="E21" s="4" t="s">
        <v>96</v>
      </c>
      <c r="F21" s="4" t="s">
        <v>327</v>
      </c>
      <c r="G21" s="4"/>
      <c r="H21" s="4" t="s">
        <v>318</v>
      </c>
    </row>
    <row r="22" spans="1:8">
      <c r="A22" s="4" t="s">
        <v>101</v>
      </c>
      <c r="B22" s="4" t="s">
        <v>102</v>
      </c>
      <c r="C22" s="4" t="s">
        <v>322</v>
      </c>
      <c r="D22" s="4">
        <v>1</v>
      </c>
      <c r="E22" s="4" t="s">
        <v>323</v>
      </c>
      <c r="F22" s="4" t="s">
        <v>324</v>
      </c>
      <c r="G22" s="4"/>
      <c r="H22" s="4"/>
    </row>
    <row r="23" spans="1:8">
      <c r="A23" s="4" t="s">
        <v>101</v>
      </c>
      <c r="B23" s="4" t="s">
        <v>102</v>
      </c>
      <c r="C23" s="4" t="s">
        <v>322</v>
      </c>
      <c r="D23" s="4">
        <v>2</v>
      </c>
      <c r="E23" s="4" t="s">
        <v>325</v>
      </c>
      <c r="F23" s="4" t="s">
        <v>326</v>
      </c>
      <c r="G23" s="4"/>
      <c r="H23" s="4"/>
    </row>
    <row r="24" spans="1:8">
      <c r="A24" s="4" t="s">
        <v>101</v>
      </c>
      <c r="B24" s="4" t="s">
        <v>102</v>
      </c>
      <c r="C24" s="4" t="s">
        <v>322</v>
      </c>
      <c r="D24" s="4">
        <v>3</v>
      </c>
      <c r="E24" s="4" t="s">
        <v>116</v>
      </c>
      <c r="F24" s="4" t="s">
        <v>329</v>
      </c>
      <c r="G24" s="4" t="s">
        <v>330</v>
      </c>
      <c r="H24" s="4"/>
    </row>
    <row r="25" spans="1:8">
      <c r="A25" s="4" t="s">
        <v>101</v>
      </c>
      <c r="B25" s="4" t="s">
        <v>102</v>
      </c>
      <c r="C25" s="4" t="s">
        <v>322</v>
      </c>
      <c r="D25" s="4">
        <v>4</v>
      </c>
      <c r="E25" s="4" t="s">
        <v>76</v>
      </c>
      <c r="F25" s="4" t="s">
        <v>271</v>
      </c>
      <c r="G25" s="4"/>
      <c r="H25" s="4"/>
    </row>
    <row r="26" spans="1:8">
      <c r="A26" s="4" t="s">
        <v>108</v>
      </c>
      <c r="B26" s="4" t="s">
        <v>109</v>
      </c>
      <c r="C26" s="4" t="s">
        <v>274</v>
      </c>
      <c r="D26" s="4"/>
      <c r="E26" s="4" t="s">
        <v>127</v>
      </c>
      <c r="F26" s="4" t="s">
        <v>275</v>
      </c>
      <c r="G26" s="4" t="s">
        <v>315</v>
      </c>
      <c r="H26" s="4"/>
    </row>
    <row r="27" spans="1:8">
      <c r="A27" s="4" t="s">
        <v>108</v>
      </c>
      <c r="B27" s="4" t="s">
        <v>109</v>
      </c>
      <c r="C27" s="4" t="s">
        <v>316</v>
      </c>
      <c r="D27" s="4"/>
      <c r="E27" s="4" t="s">
        <v>76</v>
      </c>
      <c r="F27" s="4" t="s">
        <v>271</v>
      </c>
      <c r="G27" s="4" t="s">
        <v>112</v>
      </c>
      <c r="H27" s="4"/>
    </row>
    <row r="28" spans="1:8">
      <c r="A28" s="4" t="s">
        <v>108</v>
      </c>
      <c r="B28" s="4" t="s">
        <v>109</v>
      </c>
      <c r="C28" s="4" t="s">
        <v>58</v>
      </c>
      <c r="D28" s="4">
        <v>1</v>
      </c>
      <c r="E28" s="4" t="s">
        <v>114</v>
      </c>
      <c r="F28" s="4" t="s">
        <v>333</v>
      </c>
      <c r="G28" s="4"/>
      <c r="H28" s="4" t="s">
        <v>318</v>
      </c>
    </row>
    <row r="29" spans="1:8">
      <c r="A29" s="4" t="s">
        <v>108</v>
      </c>
      <c r="B29" s="4" t="s">
        <v>109</v>
      </c>
      <c r="C29" s="4" t="s">
        <v>59</v>
      </c>
      <c r="D29" s="4">
        <v>1</v>
      </c>
      <c r="E29" s="4" t="s">
        <v>76</v>
      </c>
      <c r="F29" s="4" t="s">
        <v>271</v>
      </c>
      <c r="G29" s="4" t="s">
        <v>334</v>
      </c>
      <c r="H29" s="4" t="s">
        <v>318</v>
      </c>
    </row>
    <row r="30" spans="1:8">
      <c r="A30" s="4" t="s">
        <v>108</v>
      </c>
      <c r="B30" s="4" t="s">
        <v>109</v>
      </c>
      <c r="C30" s="4" t="s">
        <v>322</v>
      </c>
      <c r="D30" s="4">
        <v>1</v>
      </c>
      <c r="E30" s="4" t="s">
        <v>116</v>
      </c>
      <c r="F30" s="4" t="s">
        <v>329</v>
      </c>
      <c r="G30" s="4" t="s">
        <v>330</v>
      </c>
      <c r="H30" s="4"/>
    </row>
    <row r="31" spans="1:8">
      <c r="A31" s="4" t="s">
        <v>108</v>
      </c>
      <c r="B31" s="4" t="s">
        <v>109</v>
      </c>
      <c r="C31" s="4" t="s">
        <v>331</v>
      </c>
      <c r="D31" s="4"/>
      <c r="E31" s="4" t="s">
        <v>114</v>
      </c>
      <c r="F31" s="4" t="s">
        <v>333</v>
      </c>
      <c r="G31" s="4" t="s">
        <v>335</v>
      </c>
      <c r="H31" s="4"/>
    </row>
    <row r="32" spans="1:8">
      <c r="A32" s="4" t="s">
        <v>108</v>
      </c>
      <c r="B32" s="4" t="s">
        <v>109</v>
      </c>
      <c r="C32" s="4" t="s">
        <v>336</v>
      </c>
      <c r="D32" s="4"/>
      <c r="E32" s="4" t="s">
        <v>76</v>
      </c>
      <c r="F32" s="4" t="s">
        <v>271</v>
      </c>
      <c r="G32" s="4" t="s">
        <v>335</v>
      </c>
      <c r="H32" s="4"/>
    </row>
    <row r="33" spans="1:8" ht="24.95">
      <c r="A33" s="4" t="s">
        <v>120</v>
      </c>
      <c r="B33" s="4" t="s">
        <v>121</v>
      </c>
      <c r="C33" s="4" t="s">
        <v>274</v>
      </c>
      <c r="D33" s="4"/>
      <c r="E33" s="4" t="s">
        <v>127</v>
      </c>
      <c r="F33" s="4" t="s">
        <v>275</v>
      </c>
      <c r="G33" s="4" t="s">
        <v>337</v>
      </c>
      <c r="H33" s="4"/>
    </row>
    <row r="34" spans="1:8">
      <c r="A34" s="4" t="s">
        <v>120</v>
      </c>
      <c r="B34" s="4" t="s">
        <v>121</v>
      </c>
      <c r="C34" s="4" t="s">
        <v>316</v>
      </c>
      <c r="D34" s="4"/>
      <c r="E34" s="4" t="s">
        <v>76</v>
      </c>
      <c r="F34" s="4" t="s">
        <v>271</v>
      </c>
      <c r="G34" s="4" t="s">
        <v>124</v>
      </c>
      <c r="H34" s="4"/>
    </row>
    <row r="35" spans="1:8">
      <c r="A35" s="4" t="s">
        <v>120</v>
      </c>
      <c r="B35" s="4" t="s">
        <v>121</v>
      </c>
      <c r="C35" s="4" t="s">
        <v>58</v>
      </c>
      <c r="D35" s="4">
        <v>1</v>
      </c>
      <c r="E35" s="4" t="s">
        <v>127</v>
      </c>
      <c r="F35" s="4" t="s">
        <v>275</v>
      </c>
      <c r="G35" s="4"/>
      <c r="H35" s="4" t="s">
        <v>318</v>
      </c>
    </row>
    <row r="36" spans="1:8">
      <c r="A36" s="4" t="s">
        <v>120</v>
      </c>
      <c r="B36" s="4" t="s">
        <v>121</v>
      </c>
      <c r="C36" s="4" t="s">
        <v>322</v>
      </c>
      <c r="D36" s="4">
        <v>1</v>
      </c>
      <c r="E36" s="4" t="s">
        <v>323</v>
      </c>
      <c r="F36" s="4" t="s">
        <v>324</v>
      </c>
      <c r="G36" s="4"/>
      <c r="H36" s="4"/>
    </row>
    <row r="37" spans="1:8">
      <c r="A37" s="4" t="s">
        <v>120</v>
      </c>
      <c r="B37" s="4" t="s">
        <v>121</v>
      </c>
      <c r="C37" s="4" t="s">
        <v>322</v>
      </c>
      <c r="D37" s="4">
        <v>2</v>
      </c>
      <c r="E37" s="4" t="s">
        <v>325</v>
      </c>
      <c r="F37" s="4" t="s">
        <v>326</v>
      </c>
      <c r="G37" s="4"/>
      <c r="H37" s="4"/>
    </row>
    <row r="38" spans="1:8">
      <c r="A38" s="4" t="s">
        <v>120</v>
      </c>
      <c r="B38" s="4" t="s">
        <v>121</v>
      </c>
      <c r="C38" s="4" t="s">
        <v>322</v>
      </c>
      <c r="D38" s="4">
        <v>3</v>
      </c>
      <c r="E38" s="4" t="s">
        <v>96</v>
      </c>
      <c r="F38" s="4" t="s">
        <v>327</v>
      </c>
      <c r="G38" s="4"/>
      <c r="H38" s="4"/>
    </row>
    <row r="39" spans="1:8">
      <c r="A39" s="4" t="s">
        <v>120</v>
      </c>
      <c r="B39" s="4" t="s">
        <v>121</v>
      </c>
      <c r="C39" s="4" t="s">
        <v>322</v>
      </c>
      <c r="D39" s="4">
        <v>4</v>
      </c>
      <c r="E39" s="4" t="s">
        <v>116</v>
      </c>
      <c r="F39" s="4" t="s">
        <v>329</v>
      </c>
      <c r="G39" s="4" t="s">
        <v>330</v>
      </c>
      <c r="H39" s="4"/>
    </row>
    <row r="40" spans="1:8">
      <c r="A40" s="4" t="s">
        <v>120</v>
      </c>
      <c r="B40" s="4" t="s">
        <v>121</v>
      </c>
      <c r="C40" s="4" t="s">
        <v>322</v>
      </c>
      <c r="D40" s="4">
        <v>5</v>
      </c>
      <c r="E40" s="4" t="s">
        <v>338</v>
      </c>
      <c r="F40" s="4" t="s">
        <v>339</v>
      </c>
      <c r="G40" s="4"/>
      <c r="H40" s="4"/>
    </row>
    <row r="41" spans="1:8">
      <c r="A41" s="4" t="s">
        <v>120</v>
      </c>
      <c r="B41" s="4" t="s">
        <v>121</v>
      </c>
      <c r="C41" s="4" t="s">
        <v>322</v>
      </c>
      <c r="D41" s="4">
        <v>6</v>
      </c>
      <c r="E41" s="4" t="s">
        <v>340</v>
      </c>
      <c r="F41" s="4" t="s">
        <v>341</v>
      </c>
      <c r="G41" s="4" t="s">
        <v>330</v>
      </c>
      <c r="H41" s="4"/>
    </row>
    <row r="42" spans="1:8">
      <c r="A42" s="4" t="s">
        <v>120</v>
      </c>
      <c r="B42" s="4" t="s">
        <v>121</v>
      </c>
      <c r="C42" s="4" t="s">
        <v>322</v>
      </c>
      <c r="D42" s="4">
        <v>7</v>
      </c>
      <c r="E42" s="4" t="s">
        <v>76</v>
      </c>
      <c r="F42" s="4" t="s">
        <v>271</v>
      </c>
      <c r="G42" s="4"/>
      <c r="H42" s="4"/>
    </row>
    <row r="43" spans="1:8">
      <c r="A43" s="4" t="s">
        <v>120</v>
      </c>
      <c r="B43" s="4" t="s">
        <v>121</v>
      </c>
      <c r="C43" s="4" t="s">
        <v>322</v>
      </c>
      <c r="D43" s="4">
        <v>8</v>
      </c>
      <c r="E43" s="4" t="s">
        <v>342</v>
      </c>
      <c r="F43" s="4" t="s">
        <v>343</v>
      </c>
      <c r="G43" s="4"/>
      <c r="H43" s="4"/>
    </row>
    <row r="44" spans="1:8">
      <c r="A44" s="4" t="s">
        <v>120</v>
      </c>
      <c r="B44" s="4" t="s">
        <v>121</v>
      </c>
      <c r="C44" s="4" t="s">
        <v>331</v>
      </c>
      <c r="D44" s="4"/>
      <c r="E44" s="4" t="s">
        <v>127</v>
      </c>
      <c r="F44" s="4" t="s">
        <v>275</v>
      </c>
      <c r="G44" s="4" t="s">
        <v>344</v>
      </c>
      <c r="H44" s="4"/>
    </row>
    <row r="45" spans="1:8" ht="24.95">
      <c r="A45" s="4" t="s">
        <v>133</v>
      </c>
      <c r="B45" s="4" t="s">
        <v>134</v>
      </c>
      <c r="C45" s="4" t="s">
        <v>274</v>
      </c>
      <c r="D45" s="4"/>
      <c r="E45" s="4" t="s">
        <v>127</v>
      </c>
      <c r="F45" s="4" t="s">
        <v>275</v>
      </c>
      <c r="G45" s="4" t="s">
        <v>337</v>
      </c>
      <c r="H45" s="4"/>
    </row>
    <row r="46" spans="1:8">
      <c r="A46" s="4" t="s">
        <v>133</v>
      </c>
      <c r="B46" s="4" t="s">
        <v>134</v>
      </c>
      <c r="C46" s="4" t="s">
        <v>316</v>
      </c>
      <c r="D46" s="4"/>
      <c r="E46" s="4" t="s">
        <v>76</v>
      </c>
      <c r="F46" s="4" t="s">
        <v>271</v>
      </c>
      <c r="G46" s="4" t="s">
        <v>136</v>
      </c>
      <c r="H46" s="4"/>
    </row>
    <row r="47" spans="1:8">
      <c r="A47" s="4" t="s">
        <v>133</v>
      </c>
      <c r="B47" s="4" t="s">
        <v>134</v>
      </c>
      <c r="C47" s="4" t="s">
        <v>58</v>
      </c>
      <c r="D47" s="4">
        <v>1</v>
      </c>
      <c r="E47" s="4" t="s">
        <v>76</v>
      </c>
      <c r="F47" s="4" t="s">
        <v>271</v>
      </c>
      <c r="G47" s="4" t="s">
        <v>317</v>
      </c>
      <c r="H47" s="4" t="s">
        <v>318</v>
      </c>
    </row>
    <row r="48" spans="1:8">
      <c r="A48" s="4" t="s">
        <v>133</v>
      </c>
      <c r="B48" s="4" t="s">
        <v>134</v>
      </c>
      <c r="C48" s="4" t="s">
        <v>59</v>
      </c>
      <c r="D48" s="4">
        <v>1</v>
      </c>
      <c r="E48" s="4" t="s">
        <v>139</v>
      </c>
      <c r="F48" s="4" t="s">
        <v>345</v>
      </c>
      <c r="G48" s="4"/>
      <c r="H48" s="4" t="s">
        <v>318</v>
      </c>
    </row>
    <row r="49" spans="1:8">
      <c r="A49" s="4" t="s">
        <v>133</v>
      </c>
      <c r="B49" s="4" t="s">
        <v>134</v>
      </c>
      <c r="C49" s="4" t="s">
        <v>322</v>
      </c>
      <c r="D49" s="4">
        <v>1</v>
      </c>
      <c r="E49" s="4" t="s">
        <v>116</v>
      </c>
      <c r="F49" s="4" t="s">
        <v>329</v>
      </c>
      <c r="G49" s="4" t="s">
        <v>330</v>
      </c>
      <c r="H49" s="4"/>
    </row>
    <row r="50" spans="1:8">
      <c r="A50" s="4" t="s">
        <v>133</v>
      </c>
      <c r="B50" s="4" t="s">
        <v>134</v>
      </c>
      <c r="C50" s="4" t="s">
        <v>331</v>
      </c>
      <c r="D50" s="4"/>
      <c r="E50" s="4" t="s">
        <v>76</v>
      </c>
      <c r="F50" s="4" t="s">
        <v>271</v>
      </c>
      <c r="G50" s="4" t="s">
        <v>346</v>
      </c>
      <c r="H50" s="4"/>
    </row>
    <row r="51" spans="1:8">
      <c r="A51" s="4" t="s">
        <v>133</v>
      </c>
      <c r="B51" s="4" t="s">
        <v>134</v>
      </c>
      <c r="C51" s="4" t="s">
        <v>336</v>
      </c>
      <c r="D51" s="4"/>
      <c r="E51" s="4" t="s">
        <v>139</v>
      </c>
      <c r="F51" s="4" t="s">
        <v>345</v>
      </c>
      <c r="G51" s="4" t="s">
        <v>346</v>
      </c>
      <c r="H51" s="4"/>
    </row>
    <row r="52" spans="1:8" ht="24.95">
      <c r="A52" s="4" t="s">
        <v>143</v>
      </c>
      <c r="B52" s="4" t="s">
        <v>144</v>
      </c>
      <c r="C52" s="4" t="s">
        <v>274</v>
      </c>
      <c r="D52" s="4"/>
      <c r="E52" s="4" t="s">
        <v>127</v>
      </c>
      <c r="F52" s="4" t="s">
        <v>275</v>
      </c>
      <c r="G52" s="4" t="s">
        <v>337</v>
      </c>
      <c r="H52" s="4"/>
    </row>
    <row r="53" spans="1:8">
      <c r="A53" s="4" t="s">
        <v>143</v>
      </c>
      <c r="B53" s="4" t="s">
        <v>144</v>
      </c>
      <c r="C53" s="4" t="s">
        <v>316</v>
      </c>
      <c r="D53" s="4"/>
      <c r="E53" s="4" t="s">
        <v>76</v>
      </c>
      <c r="F53" s="4" t="s">
        <v>271</v>
      </c>
      <c r="G53" s="4" t="s">
        <v>124</v>
      </c>
      <c r="H53" s="4"/>
    </row>
    <row r="54" spans="1:8">
      <c r="A54" s="4" t="s">
        <v>143</v>
      </c>
      <c r="B54" s="4" t="s">
        <v>144</v>
      </c>
      <c r="C54" s="4" t="s">
        <v>58</v>
      </c>
      <c r="D54" s="4">
        <v>1</v>
      </c>
      <c r="E54" s="4" t="s">
        <v>96</v>
      </c>
      <c r="F54" s="4" t="s">
        <v>327</v>
      </c>
      <c r="G54" s="4"/>
      <c r="H54" s="4" t="s">
        <v>318</v>
      </c>
    </row>
    <row r="55" spans="1:8">
      <c r="A55" s="4" t="s">
        <v>143</v>
      </c>
      <c r="B55" s="4" t="s">
        <v>144</v>
      </c>
      <c r="C55" s="4" t="s">
        <v>59</v>
      </c>
      <c r="D55" s="4">
        <v>1</v>
      </c>
      <c r="E55" s="4" t="s">
        <v>127</v>
      </c>
      <c r="F55" s="4" t="s">
        <v>275</v>
      </c>
      <c r="G55" s="4"/>
      <c r="H55" s="4" t="s">
        <v>318</v>
      </c>
    </row>
    <row r="56" spans="1:8">
      <c r="A56" s="4" t="s">
        <v>143</v>
      </c>
      <c r="B56" s="4" t="s">
        <v>144</v>
      </c>
      <c r="C56" s="4" t="s">
        <v>322</v>
      </c>
      <c r="D56" s="4">
        <v>1</v>
      </c>
      <c r="E56" s="4" t="s">
        <v>116</v>
      </c>
      <c r="F56" s="4" t="s">
        <v>329</v>
      </c>
      <c r="G56" s="4" t="s">
        <v>330</v>
      </c>
      <c r="H56" s="4"/>
    </row>
    <row r="57" spans="1:8">
      <c r="A57" s="4" t="s">
        <v>143</v>
      </c>
      <c r="B57" s="4" t="s">
        <v>144</v>
      </c>
      <c r="C57" s="4" t="s">
        <v>331</v>
      </c>
      <c r="D57" s="4"/>
      <c r="E57" s="4" t="s">
        <v>96</v>
      </c>
      <c r="F57" s="4" t="s">
        <v>327</v>
      </c>
      <c r="G57" s="4" t="s">
        <v>347</v>
      </c>
      <c r="H57" s="4"/>
    </row>
    <row r="58" spans="1:8">
      <c r="A58" s="4" t="s">
        <v>143</v>
      </c>
      <c r="B58" s="4" t="s">
        <v>144</v>
      </c>
      <c r="C58" s="4" t="s">
        <v>336</v>
      </c>
      <c r="D58" s="4"/>
      <c r="E58" s="4" t="s">
        <v>127</v>
      </c>
      <c r="F58" s="4" t="s">
        <v>275</v>
      </c>
      <c r="G58" s="4" t="s">
        <v>347</v>
      </c>
      <c r="H58" s="4"/>
    </row>
    <row r="59" spans="1:8">
      <c r="A59" s="4" t="s">
        <v>149</v>
      </c>
      <c r="B59" s="4" t="s">
        <v>150</v>
      </c>
      <c r="C59" s="4" t="s">
        <v>274</v>
      </c>
      <c r="D59" s="4"/>
      <c r="E59" s="4" t="s">
        <v>127</v>
      </c>
      <c r="F59" s="4" t="s">
        <v>275</v>
      </c>
      <c r="G59" s="4" t="s">
        <v>315</v>
      </c>
      <c r="H59" s="4"/>
    </row>
    <row r="60" spans="1:8">
      <c r="A60" s="4" t="s">
        <v>149</v>
      </c>
      <c r="B60" s="4" t="s">
        <v>150</v>
      </c>
      <c r="C60" s="4" t="s">
        <v>316</v>
      </c>
      <c r="D60" s="4"/>
      <c r="E60" s="4" t="s">
        <v>76</v>
      </c>
      <c r="F60" s="4" t="s">
        <v>271</v>
      </c>
      <c r="G60" s="4" t="s">
        <v>77</v>
      </c>
      <c r="H60" s="4"/>
    </row>
    <row r="61" spans="1:8">
      <c r="A61" s="4" t="s">
        <v>149</v>
      </c>
      <c r="B61" s="4" t="s">
        <v>150</v>
      </c>
      <c r="C61" s="4" t="s">
        <v>58</v>
      </c>
      <c r="D61" s="4">
        <v>1</v>
      </c>
      <c r="E61" s="4" t="s">
        <v>96</v>
      </c>
      <c r="F61" s="4" t="s">
        <v>327</v>
      </c>
      <c r="G61" s="4"/>
      <c r="H61" s="4" t="s">
        <v>348</v>
      </c>
    </row>
    <row r="62" spans="1:8">
      <c r="A62" s="4" t="s">
        <v>149</v>
      </c>
      <c r="B62" s="4" t="s">
        <v>150</v>
      </c>
      <c r="C62" s="4" t="s">
        <v>322</v>
      </c>
      <c r="D62" s="4">
        <v>1</v>
      </c>
      <c r="E62" s="4" t="s">
        <v>323</v>
      </c>
      <c r="F62" s="4" t="s">
        <v>324</v>
      </c>
      <c r="G62" s="4"/>
      <c r="H62" s="4"/>
    </row>
    <row r="63" spans="1:8">
      <c r="A63" s="4" t="s">
        <v>149</v>
      </c>
      <c r="B63" s="4" t="s">
        <v>150</v>
      </c>
      <c r="C63" s="4" t="s">
        <v>322</v>
      </c>
      <c r="D63" s="4">
        <v>2</v>
      </c>
      <c r="E63" s="4" t="s">
        <v>325</v>
      </c>
      <c r="F63" s="4" t="s">
        <v>326</v>
      </c>
      <c r="G63" s="4"/>
      <c r="H63" s="4"/>
    </row>
    <row r="64" spans="1:8">
      <c r="A64" s="4" t="s">
        <v>149</v>
      </c>
      <c r="B64" s="4" t="s">
        <v>150</v>
      </c>
      <c r="C64" s="4" t="s">
        <v>322</v>
      </c>
      <c r="D64" s="4">
        <v>3</v>
      </c>
      <c r="E64" s="4" t="s">
        <v>116</v>
      </c>
      <c r="F64" s="4" t="s">
        <v>329</v>
      </c>
      <c r="G64" s="4" t="s">
        <v>330</v>
      </c>
      <c r="H64" s="4"/>
    </row>
    <row r="65" spans="1:8">
      <c r="A65" s="4" t="s">
        <v>149</v>
      </c>
      <c r="B65" s="4" t="s">
        <v>150</v>
      </c>
      <c r="C65" s="4" t="s">
        <v>322</v>
      </c>
      <c r="D65" s="4">
        <v>4</v>
      </c>
      <c r="E65" s="4" t="s">
        <v>76</v>
      </c>
      <c r="F65" s="4" t="s">
        <v>271</v>
      </c>
      <c r="G65" s="4"/>
      <c r="H65" s="4"/>
    </row>
    <row r="66" spans="1:8">
      <c r="A66" s="4" t="s">
        <v>149</v>
      </c>
      <c r="B66" s="4" t="s">
        <v>150</v>
      </c>
      <c r="C66" s="4" t="s">
        <v>331</v>
      </c>
      <c r="D66" s="4"/>
      <c r="E66" s="4" t="s">
        <v>96</v>
      </c>
      <c r="F66" s="4" t="s">
        <v>327</v>
      </c>
      <c r="G66" s="4" t="s">
        <v>349</v>
      </c>
      <c r="H66" s="4"/>
    </row>
    <row r="67" spans="1:8">
      <c r="A67" s="4" t="s">
        <v>156</v>
      </c>
      <c r="B67" s="4" t="s">
        <v>157</v>
      </c>
      <c r="C67" s="4" t="s">
        <v>316</v>
      </c>
      <c r="D67" s="4"/>
      <c r="E67" s="4" t="s">
        <v>76</v>
      </c>
      <c r="F67" s="4" t="s">
        <v>271</v>
      </c>
      <c r="G67" s="4" t="s">
        <v>77</v>
      </c>
      <c r="H67" s="4"/>
    </row>
    <row r="68" spans="1:8">
      <c r="A68" s="4" t="s">
        <v>156</v>
      </c>
      <c r="B68" s="4" t="s">
        <v>157</v>
      </c>
      <c r="C68" s="4" t="s">
        <v>58</v>
      </c>
      <c r="D68" s="4">
        <v>1</v>
      </c>
      <c r="E68" s="4" t="s">
        <v>96</v>
      </c>
      <c r="F68" s="4" t="s">
        <v>327</v>
      </c>
      <c r="G68" s="4"/>
      <c r="H68" s="4" t="s">
        <v>318</v>
      </c>
    </row>
    <row r="69" spans="1:8">
      <c r="A69" s="4" t="s">
        <v>156</v>
      </c>
      <c r="B69" s="4" t="s">
        <v>157</v>
      </c>
      <c r="C69" s="4" t="s">
        <v>322</v>
      </c>
      <c r="D69" s="4">
        <v>1</v>
      </c>
      <c r="E69" s="4" t="s">
        <v>323</v>
      </c>
      <c r="F69" s="4" t="s">
        <v>324</v>
      </c>
      <c r="G69" s="4"/>
      <c r="H69" s="4"/>
    </row>
    <row r="70" spans="1:8">
      <c r="A70" s="4" t="s">
        <v>156</v>
      </c>
      <c r="B70" s="4" t="s">
        <v>157</v>
      </c>
      <c r="C70" s="4" t="s">
        <v>322</v>
      </c>
      <c r="D70" s="4">
        <v>2</v>
      </c>
      <c r="E70" s="4" t="s">
        <v>127</v>
      </c>
      <c r="F70" s="4" t="s">
        <v>275</v>
      </c>
      <c r="G70" s="4"/>
      <c r="H70" s="4"/>
    </row>
    <row r="71" spans="1:8">
      <c r="A71" s="4" t="s">
        <v>156</v>
      </c>
      <c r="B71" s="4" t="s">
        <v>157</v>
      </c>
      <c r="C71" s="4" t="s">
        <v>322</v>
      </c>
      <c r="D71" s="4">
        <v>3</v>
      </c>
      <c r="E71" s="4" t="s">
        <v>116</v>
      </c>
      <c r="F71" s="4" t="s">
        <v>329</v>
      </c>
      <c r="G71" s="4" t="s">
        <v>330</v>
      </c>
      <c r="H71" s="4"/>
    </row>
    <row r="72" spans="1:8">
      <c r="A72" s="4" t="s">
        <v>156</v>
      </c>
      <c r="B72" s="4" t="s">
        <v>157</v>
      </c>
      <c r="C72" s="4" t="s">
        <v>322</v>
      </c>
      <c r="D72" s="4">
        <v>4</v>
      </c>
      <c r="E72" s="4" t="s">
        <v>218</v>
      </c>
      <c r="F72" s="4" t="s">
        <v>350</v>
      </c>
      <c r="G72" s="4"/>
      <c r="H72" s="4"/>
    </row>
    <row r="73" spans="1:8">
      <c r="A73" s="4" t="s">
        <v>156</v>
      </c>
      <c r="B73" s="4" t="s">
        <v>157</v>
      </c>
      <c r="C73" s="4" t="s">
        <v>322</v>
      </c>
      <c r="D73" s="4">
        <v>5</v>
      </c>
      <c r="E73" s="4" t="s">
        <v>351</v>
      </c>
      <c r="F73" s="4" t="s">
        <v>352</v>
      </c>
      <c r="G73" s="4"/>
      <c r="H73" s="4"/>
    </row>
    <row r="74" spans="1:8">
      <c r="A74" s="4" t="s">
        <v>156</v>
      </c>
      <c r="B74" s="4" t="s">
        <v>157</v>
      </c>
      <c r="C74" s="4" t="s">
        <v>62</v>
      </c>
      <c r="D74" s="4"/>
      <c r="E74" s="4" t="s">
        <v>353</v>
      </c>
      <c r="F74" s="4" t="s">
        <v>354</v>
      </c>
      <c r="G74" s="4" t="s">
        <v>355</v>
      </c>
      <c r="H74" s="4"/>
    </row>
    <row r="75" spans="1:8">
      <c r="A75" s="4" t="s">
        <v>164</v>
      </c>
      <c r="B75" s="4" t="s">
        <v>165</v>
      </c>
      <c r="C75" s="4" t="s">
        <v>316</v>
      </c>
      <c r="D75" s="4"/>
      <c r="E75" s="4" t="s">
        <v>76</v>
      </c>
      <c r="F75" s="4" t="s">
        <v>271</v>
      </c>
      <c r="G75" s="4" t="s">
        <v>77</v>
      </c>
      <c r="H75" s="4"/>
    </row>
    <row r="76" spans="1:8">
      <c r="A76" s="4" t="s">
        <v>164</v>
      </c>
      <c r="B76" s="4" t="s">
        <v>165</v>
      </c>
      <c r="C76" s="4" t="s">
        <v>58</v>
      </c>
      <c r="D76" s="4">
        <v>1</v>
      </c>
      <c r="E76" s="4" t="s">
        <v>127</v>
      </c>
      <c r="F76" s="4" t="s">
        <v>275</v>
      </c>
      <c r="G76" s="4"/>
      <c r="H76" s="4" t="s">
        <v>318</v>
      </c>
    </row>
    <row r="77" spans="1:8">
      <c r="A77" s="4" t="s">
        <v>164</v>
      </c>
      <c r="B77" s="4" t="s">
        <v>165</v>
      </c>
      <c r="C77" s="4" t="s">
        <v>58</v>
      </c>
      <c r="D77" s="4">
        <v>2</v>
      </c>
      <c r="E77" s="4" t="s">
        <v>175</v>
      </c>
      <c r="F77" s="4" t="s">
        <v>356</v>
      </c>
      <c r="G77" s="4"/>
      <c r="H77" s="4" t="s">
        <v>318</v>
      </c>
    </row>
    <row r="78" spans="1:8">
      <c r="A78" s="4" t="s">
        <v>164</v>
      </c>
      <c r="B78" s="4" t="s">
        <v>165</v>
      </c>
      <c r="C78" s="4" t="s">
        <v>322</v>
      </c>
      <c r="D78" s="4">
        <v>1</v>
      </c>
      <c r="E78" s="4" t="s">
        <v>323</v>
      </c>
      <c r="F78" s="4" t="s">
        <v>324</v>
      </c>
      <c r="G78" s="4"/>
      <c r="H78" s="4"/>
    </row>
    <row r="79" spans="1:8">
      <c r="A79" s="4" t="s">
        <v>164</v>
      </c>
      <c r="B79" s="4" t="s">
        <v>165</v>
      </c>
      <c r="C79" s="4" t="s">
        <v>322</v>
      </c>
      <c r="D79" s="4">
        <v>2</v>
      </c>
      <c r="E79" s="4" t="s">
        <v>325</v>
      </c>
      <c r="F79" s="4" t="s">
        <v>326</v>
      </c>
      <c r="G79" s="4"/>
      <c r="H79" s="4"/>
    </row>
    <row r="80" spans="1:8">
      <c r="A80" s="4" t="s">
        <v>164</v>
      </c>
      <c r="B80" s="4" t="s">
        <v>165</v>
      </c>
      <c r="C80" s="4" t="s">
        <v>322</v>
      </c>
      <c r="D80" s="4">
        <v>3</v>
      </c>
      <c r="E80" s="4" t="s">
        <v>96</v>
      </c>
      <c r="F80" s="4" t="s">
        <v>327</v>
      </c>
      <c r="G80" s="4"/>
      <c r="H80" s="4"/>
    </row>
    <row r="81" spans="1:8">
      <c r="A81" s="4" t="s">
        <v>164</v>
      </c>
      <c r="B81" s="4" t="s">
        <v>165</v>
      </c>
      <c r="C81" s="4" t="s">
        <v>322</v>
      </c>
      <c r="D81" s="4">
        <v>4</v>
      </c>
      <c r="E81" s="4" t="s">
        <v>116</v>
      </c>
      <c r="F81" s="4" t="s">
        <v>329</v>
      </c>
      <c r="G81" s="4" t="s">
        <v>330</v>
      </c>
      <c r="H81" s="4"/>
    </row>
    <row r="82" spans="1:8">
      <c r="A82" s="4" t="s">
        <v>164</v>
      </c>
      <c r="B82" s="4" t="s">
        <v>165</v>
      </c>
      <c r="C82" s="4" t="s">
        <v>322</v>
      </c>
      <c r="D82" s="4">
        <v>5</v>
      </c>
      <c r="E82" s="4" t="s">
        <v>357</v>
      </c>
      <c r="F82" s="4" t="s">
        <v>358</v>
      </c>
      <c r="G82" s="4"/>
      <c r="H82" s="4"/>
    </row>
    <row r="83" spans="1:8">
      <c r="A83" s="4" t="s">
        <v>164</v>
      </c>
      <c r="B83" s="4" t="s">
        <v>165</v>
      </c>
      <c r="C83" s="4" t="s">
        <v>331</v>
      </c>
      <c r="D83" s="4"/>
      <c r="E83" s="4" t="s">
        <v>127</v>
      </c>
      <c r="F83" s="4" t="s">
        <v>275</v>
      </c>
      <c r="G83" s="4" t="s">
        <v>347</v>
      </c>
      <c r="H83" s="4"/>
    </row>
    <row r="84" spans="1:8">
      <c r="A84" s="4" t="s">
        <v>164</v>
      </c>
      <c r="B84" s="4" t="s">
        <v>165</v>
      </c>
      <c r="C84" s="4" t="s">
        <v>336</v>
      </c>
      <c r="D84" s="4"/>
      <c r="E84" s="4" t="s">
        <v>175</v>
      </c>
      <c r="F84" s="4" t="s">
        <v>356</v>
      </c>
      <c r="G84" s="4" t="s">
        <v>347</v>
      </c>
      <c r="H84" s="4"/>
    </row>
    <row r="85" spans="1:8">
      <c r="A85" s="4" t="s">
        <v>172</v>
      </c>
      <c r="B85" s="4" t="s">
        <v>173</v>
      </c>
      <c r="C85" s="4" t="s">
        <v>274</v>
      </c>
      <c r="D85" s="4"/>
      <c r="E85" s="4" t="s">
        <v>127</v>
      </c>
      <c r="F85" s="4" t="s">
        <v>275</v>
      </c>
      <c r="G85" s="4" t="s">
        <v>315</v>
      </c>
      <c r="H85" s="4"/>
    </row>
    <row r="86" spans="1:8">
      <c r="A86" s="4" t="s">
        <v>172</v>
      </c>
      <c r="B86" s="4" t="s">
        <v>173</v>
      </c>
      <c r="C86" s="4" t="s">
        <v>316</v>
      </c>
      <c r="D86" s="4"/>
      <c r="E86" s="4" t="s">
        <v>76</v>
      </c>
      <c r="F86" s="4" t="s">
        <v>271</v>
      </c>
      <c r="G86" s="4" t="s">
        <v>77</v>
      </c>
      <c r="H86" s="4"/>
    </row>
    <row r="87" spans="1:8">
      <c r="A87" s="4" t="s">
        <v>172</v>
      </c>
      <c r="B87" s="4" t="s">
        <v>173</v>
      </c>
      <c r="C87" s="4" t="s">
        <v>58</v>
      </c>
      <c r="D87" s="4">
        <v>1</v>
      </c>
      <c r="E87" s="4" t="s">
        <v>175</v>
      </c>
      <c r="F87" s="4" t="s">
        <v>356</v>
      </c>
      <c r="G87" s="4"/>
      <c r="H87" s="4" t="s">
        <v>318</v>
      </c>
    </row>
    <row r="88" spans="1:8">
      <c r="A88" s="4" t="s">
        <v>172</v>
      </c>
      <c r="B88" s="4" t="s">
        <v>173</v>
      </c>
      <c r="C88" s="4" t="s">
        <v>322</v>
      </c>
      <c r="D88" s="4">
        <v>1</v>
      </c>
      <c r="E88" s="4" t="s">
        <v>323</v>
      </c>
      <c r="F88" s="4" t="s">
        <v>324</v>
      </c>
      <c r="G88" s="4"/>
      <c r="H88" s="4"/>
    </row>
    <row r="89" spans="1:8">
      <c r="A89" s="4" t="s">
        <v>172</v>
      </c>
      <c r="B89" s="4" t="s">
        <v>173</v>
      </c>
      <c r="C89" s="4" t="s">
        <v>322</v>
      </c>
      <c r="D89" s="4">
        <v>2</v>
      </c>
      <c r="E89" s="4" t="s">
        <v>325</v>
      </c>
      <c r="F89" s="4" t="s">
        <v>326</v>
      </c>
      <c r="G89" s="4"/>
      <c r="H89" s="4"/>
    </row>
    <row r="90" spans="1:8">
      <c r="A90" s="4" t="s">
        <v>172</v>
      </c>
      <c r="B90" s="4" t="s">
        <v>173</v>
      </c>
      <c r="C90" s="4" t="s">
        <v>322</v>
      </c>
      <c r="D90" s="4">
        <v>3</v>
      </c>
      <c r="E90" s="4" t="s">
        <v>96</v>
      </c>
      <c r="F90" s="4" t="s">
        <v>327</v>
      </c>
      <c r="G90" s="4"/>
      <c r="H90" s="4"/>
    </row>
    <row r="91" spans="1:8">
      <c r="A91" s="4" t="s">
        <v>172</v>
      </c>
      <c r="B91" s="4" t="s">
        <v>173</v>
      </c>
      <c r="C91" s="4" t="s">
        <v>322</v>
      </c>
      <c r="D91" s="4">
        <v>4</v>
      </c>
      <c r="E91" s="4" t="s">
        <v>116</v>
      </c>
      <c r="F91" s="4" t="s">
        <v>329</v>
      </c>
      <c r="G91" s="4" t="s">
        <v>330</v>
      </c>
      <c r="H91" s="4"/>
    </row>
    <row r="92" spans="1:8">
      <c r="A92" s="4" t="s">
        <v>172</v>
      </c>
      <c r="B92" s="4" t="s">
        <v>173</v>
      </c>
      <c r="C92" s="4" t="s">
        <v>322</v>
      </c>
      <c r="D92" s="4">
        <v>5</v>
      </c>
      <c r="E92" s="4" t="s">
        <v>357</v>
      </c>
      <c r="F92" s="4" t="s">
        <v>358</v>
      </c>
      <c r="G92" s="4"/>
      <c r="H92" s="4"/>
    </row>
    <row r="93" spans="1:8">
      <c r="A93" s="4" t="s">
        <v>172</v>
      </c>
      <c r="B93" s="4" t="s">
        <v>173</v>
      </c>
      <c r="C93" s="4" t="s">
        <v>331</v>
      </c>
      <c r="D93" s="4"/>
      <c r="E93" s="4" t="s">
        <v>175</v>
      </c>
      <c r="F93" s="4" t="s">
        <v>356</v>
      </c>
      <c r="G93" s="4" t="s">
        <v>359</v>
      </c>
      <c r="H93" s="4"/>
    </row>
    <row r="94" spans="1:8">
      <c r="A94" s="4" t="s">
        <v>179</v>
      </c>
      <c r="B94" s="4" t="s">
        <v>180</v>
      </c>
      <c r="C94" s="4" t="s">
        <v>274</v>
      </c>
      <c r="D94" s="4"/>
      <c r="E94" s="4" t="s">
        <v>127</v>
      </c>
      <c r="F94" s="4" t="s">
        <v>275</v>
      </c>
      <c r="G94" s="4" t="s">
        <v>360</v>
      </c>
      <c r="H94" s="4"/>
    </row>
    <row r="95" spans="1:8">
      <c r="A95" s="4" t="s">
        <v>179</v>
      </c>
      <c r="B95" s="4" t="s">
        <v>180</v>
      </c>
      <c r="C95" s="4" t="s">
        <v>316</v>
      </c>
      <c r="D95" s="4"/>
      <c r="E95" s="4" t="s">
        <v>76</v>
      </c>
      <c r="F95" s="4" t="s">
        <v>271</v>
      </c>
      <c r="G95" s="4" t="s">
        <v>77</v>
      </c>
      <c r="H95" s="4"/>
    </row>
    <row r="96" spans="1:8">
      <c r="A96" s="4" t="s">
        <v>179</v>
      </c>
      <c r="B96" s="4" t="s">
        <v>180</v>
      </c>
      <c r="C96" s="4" t="s">
        <v>58</v>
      </c>
      <c r="D96" s="4">
        <v>1</v>
      </c>
      <c r="E96" s="4" t="s">
        <v>175</v>
      </c>
      <c r="F96" s="4" t="s">
        <v>356</v>
      </c>
      <c r="G96" s="4"/>
      <c r="H96" s="4" t="s">
        <v>318</v>
      </c>
    </row>
    <row r="97" spans="1:8">
      <c r="A97" s="4" t="s">
        <v>179</v>
      </c>
      <c r="B97" s="4" t="s">
        <v>180</v>
      </c>
      <c r="C97" s="4" t="s">
        <v>322</v>
      </c>
      <c r="D97" s="4">
        <v>1</v>
      </c>
      <c r="E97" s="4" t="s">
        <v>323</v>
      </c>
      <c r="F97" s="4" t="s">
        <v>324</v>
      </c>
      <c r="G97" s="4"/>
      <c r="H97" s="4"/>
    </row>
    <row r="98" spans="1:8">
      <c r="A98" s="4" t="s">
        <v>179</v>
      </c>
      <c r="B98" s="4" t="s">
        <v>180</v>
      </c>
      <c r="C98" s="4" t="s">
        <v>322</v>
      </c>
      <c r="D98" s="4">
        <v>2</v>
      </c>
      <c r="E98" s="4" t="s">
        <v>325</v>
      </c>
      <c r="F98" s="4" t="s">
        <v>326</v>
      </c>
      <c r="G98" s="4"/>
      <c r="H98" s="4"/>
    </row>
    <row r="99" spans="1:8">
      <c r="A99" s="4" t="s">
        <v>179</v>
      </c>
      <c r="B99" s="4" t="s">
        <v>180</v>
      </c>
      <c r="C99" s="4" t="s">
        <v>322</v>
      </c>
      <c r="D99" s="4">
        <v>3</v>
      </c>
      <c r="E99" s="4" t="s">
        <v>96</v>
      </c>
      <c r="F99" s="4" t="s">
        <v>327</v>
      </c>
      <c r="G99" s="4"/>
      <c r="H99" s="4"/>
    </row>
    <row r="100" spans="1:8">
      <c r="A100" s="4" t="s">
        <v>179</v>
      </c>
      <c r="B100" s="4" t="s">
        <v>180</v>
      </c>
      <c r="C100" s="4" t="s">
        <v>322</v>
      </c>
      <c r="D100" s="4">
        <v>4</v>
      </c>
      <c r="E100" s="4" t="s">
        <v>116</v>
      </c>
      <c r="F100" s="4" t="s">
        <v>329</v>
      </c>
      <c r="G100" s="4" t="s">
        <v>330</v>
      </c>
      <c r="H100" s="4"/>
    </row>
    <row r="101" spans="1:8">
      <c r="A101" s="4" t="s">
        <v>179</v>
      </c>
      <c r="B101" s="4" t="s">
        <v>180</v>
      </c>
      <c r="C101" s="4" t="s">
        <v>322</v>
      </c>
      <c r="D101" s="4">
        <v>5</v>
      </c>
      <c r="E101" s="4" t="s">
        <v>357</v>
      </c>
      <c r="F101" s="4" t="s">
        <v>358</v>
      </c>
      <c r="G101" s="4"/>
      <c r="H101" s="4"/>
    </row>
    <row r="102" spans="1:8">
      <c r="A102" s="4" t="s">
        <v>179</v>
      </c>
      <c r="B102" s="4" t="s">
        <v>180</v>
      </c>
      <c r="C102" s="4" t="s">
        <v>331</v>
      </c>
      <c r="D102" s="4"/>
      <c r="E102" s="4" t="s">
        <v>175</v>
      </c>
      <c r="F102" s="4" t="s">
        <v>356</v>
      </c>
      <c r="G102" s="4" t="s">
        <v>359</v>
      </c>
      <c r="H102" s="4"/>
    </row>
    <row r="103" spans="1:8" ht="37.5">
      <c r="A103" s="4" t="s">
        <v>185</v>
      </c>
      <c r="B103" s="4" t="s">
        <v>186</v>
      </c>
      <c r="C103" s="4" t="s">
        <v>274</v>
      </c>
      <c r="D103" s="4"/>
      <c r="E103" s="4" t="s">
        <v>127</v>
      </c>
      <c r="F103" s="4" t="s">
        <v>275</v>
      </c>
      <c r="G103" s="4" t="s">
        <v>361</v>
      </c>
      <c r="H103" s="4"/>
    </row>
    <row r="104" spans="1:8">
      <c r="A104" s="4" t="s">
        <v>185</v>
      </c>
      <c r="B104" s="4" t="s">
        <v>186</v>
      </c>
      <c r="C104" s="4" t="s">
        <v>316</v>
      </c>
      <c r="D104" s="4"/>
      <c r="E104" s="4" t="s">
        <v>76</v>
      </c>
      <c r="F104" s="4" t="s">
        <v>271</v>
      </c>
      <c r="G104" s="4" t="s">
        <v>189</v>
      </c>
      <c r="H104" s="4"/>
    </row>
    <row r="105" spans="1:8">
      <c r="A105" s="4" t="s">
        <v>185</v>
      </c>
      <c r="B105" s="4" t="s">
        <v>186</v>
      </c>
      <c r="C105" s="4" t="s">
        <v>322</v>
      </c>
      <c r="D105" s="4">
        <v>1</v>
      </c>
      <c r="E105" s="4" t="s">
        <v>323</v>
      </c>
      <c r="F105" s="4" t="s">
        <v>324</v>
      </c>
      <c r="G105" s="4"/>
      <c r="H105" s="4"/>
    </row>
    <row r="106" spans="1:8">
      <c r="A106" s="4" t="s">
        <v>185</v>
      </c>
      <c r="B106" s="4" t="s">
        <v>186</v>
      </c>
      <c r="C106" s="4" t="s">
        <v>322</v>
      </c>
      <c r="D106" s="4">
        <v>2</v>
      </c>
      <c r="E106" s="4" t="s">
        <v>325</v>
      </c>
      <c r="F106" s="4" t="s">
        <v>326</v>
      </c>
      <c r="G106" s="4"/>
      <c r="H106" s="4"/>
    </row>
    <row r="107" spans="1:8">
      <c r="A107" s="4" t="s">
        <v>185</v>
      </c>
      <c r="B107" s="4" t="s">
        <v>186</v>
      </c>
      <c r="C107" s="4" t="s">
        <v>322</v>
      </c>
      <c r="D107" s="4">
        <v>3</v>
      </c>
      <c r="E107" s="4" t="s">
        <v>96</v>
      </c>
      <c r="F107" s="4" t="s">
        <v>327</v>
      </c>
      <c r="G107" s="4"/>
      <c r="H107" s="4"/>
    </row>
    <row r="108" spans="1:8">
      <c r="A108" s="4" t="s">
        <v>185</v>
      </c>
      <c r="B108" s="4" t="s">
        <v>186</v>
      </c>
      <c r="C108" s="4" t="s">
        <v>322</v>
      </c>
      <c r="D108" s="4">
        <v>4</v>
      </c>
      <c r="E108" s="4" t="s">
        <v>127</v>
      </c>
      <c r="F108" s="4" t="s">
        <v>275</v>
      </c>
      <c r="G108" s="4"/>
      <c r="H108" s="4"/>
    </row>
    <row r="109" spans="1:8">
      <c r="A109" s="4" t="s">
        <v>185</v>
      </c>
      <c r="B109" s="4" t="s">
        <v>186</v>
      </c>
      <c r="C109" s="4" t="s">
        <v>322</v>
      </c>
      <c r="D109" s="4">
        <v>5</v>
      </c>
      <c r="E109" s="4" t="s">
        <v>116</v>
      </c>
      <c r="F109" s="4" t="s">
        <v>329</v>
      </c>
      <c r="G109" s="4" t="s">
        <v>330</v>
      </c>
      <c r="H109" s="4"/>
    </row>
    <row r="110" spans="1:8">
      <c r="A110" s="4" t="s">
        <v>185</v>
      </c>
      <c r="B110" s="4" t="s">
        <v>186</v>
      </c>
      <c r="C110" s="4" t="s">
        <v>322</v>
      </c>
      <c r="D110" s="4">
        <v>6</v>
      </c>
      <c r="E110" s="4" t="s">
        <v>76</v>
      </c>
      <c r="F110" s="4" t="s">
        <v>271</v>
      </c>
      <c r="G110" s="4"/>
      <c r="H110" s="4"/>
    </row>
    <row r="111" spans="1:8">
      <c r="A111" s="4" t="s">
        <v>185</v>
      </c>
      <c r="B111" s="4" t="s">
        <v>186</v>
      </c>
      <c r="C111" s="4" t="s">
        <v>322</v>
      </c>
      <c r="D111" s="4">
        <v>7</v>
      </c>
      <c r="E111" s="4" t="s">
        <v>342</v>
      </c>
      <c r="F111" s="4" t="s">
        <v>343</v>
      </c>
      <c r="G111" s="4"/>
      <c r="H111" s="4"/>
    </row>
    <row r="112" spans="1:8">
      <c r="A112" s="4" t="s">
        <v>185</v>
      </c>
      <c r="B112" s="4" t="s">
        <v>186</v>
      </c>
      <c r="C112" s="4" t="s">
        <v>362</v>
      </c>
      <c r="D112" s="4"/>
      <c r="E112" s="4" t="s">
        <v>76</v>
      </c>
      <c r="F112" s="4" t="s">
        <v>271</v>
      </c>
      <c r="G112" s="4"/>
      <c r="H112" s="4" t="s">
        <v>318</v>
      </c>
    </row>
    <row r="113" spans="1:8" ht="24.95">
      <c r="A113" s="4" t="s">
        <v>197</v>
      </c>
      <c r="B113" s="4" t="s">
        <v>198</v>
      </c>
      <c r="C113" s="4" t="s">
        <v>274</v>
      </c>
      <c r="D113" s="4"/>
      <c r="E113" s="4" t="s">
        <v>127</v>
      </c>
      <c r="F113" s="4" t="s">
        <v>275</v>
      </c>
      <c r="G113" s="4" t="s">
        <v>337</v>
      </c>
      <c r="H113" s="4"/>
    </row>
    <row r="114" spans="1:8">
      <c r="A114" s="4" t="s">
        <v>197</v>
      </c>
      <c r="B114" s="4" t="s">
        <v>198</v>
      </c>
      <c r="C114" s="4" t="s">
        <v>274</v>
      </c>
      <c r="D114" s="4"/>
      <c r="E114" s="4" t="s">
        <v>76</v>
      </c>
      <c r="F114" s="4" t="s">
        <v>271</v>
      </c>
      <c r="G114" s="4" t="s">
        <v>363</v>
      </c>
      <c r="H114" s="4"/>
    </row>
    <row r="115" spans="1:8">
      <c r="A115" s="4" t="s">
        <v>197</v>
      </c>
      <c r="B115" s="4" t="s">
        <v>198</v>
      </c>
      <c r="C115" s="4" t="s">
        <v>274</v>
      </c>
      <c r="D115" s="4"/>
      <c r="E115" s="4" t="s">
        <v>298</v>
      </c>
      <c r="F115" s="4" t="s">
        <v>299</v>
      </c>
      <c r="G115" s="4" t="s">
        <v>364</v>
      </c>
      <c r="H115" s="4"/>
    </row>
    <row r="116" spans="1:8">
      <c r="A116" s="4" t="s">
        <v>197</v>
      </c>
      <c r="B116" s="4" t="s">
        <v>198</v>
      </c>
      <c r="C116" s="4" t="s">
        <v>316</v>
      </c>
      <c r="D116" s="4"/>
      <c r="E116" s="4" t="s">
        <v>76</v>
      </c>
      <c r="F116" s="4" t="s">
        <v>271</v>
      </c>
      <c r="G116" s="4" t="s">
        <v>124</v>
      </c>
      <c r="H116" s="4"/>
    </row>
    <row r="117" spans="1:8">
      <c r="A117" s="4" t="s">
        <v>197</v>
      </c>
      <c r="B117" s="4" t="s">
        <v>198</v>
      </c>
      <c r="C117" s="4" t="s">
        <v>322</v>
      </c>
      <c r="D117" s="4">
        <v>1</v>
      </c>
      <c r="E117" s="4" t="s">
        <v>323</v>
      </c>
      <c r="F117" s="4" t="s">
        <v>324</v>
      </c>
      <c r="G117" s="4"/>
      <c r="H117" s="4"/>
    </row>
    <row r="118" spans="1:8">
      <c r="A118" s="4" t="s">
        <v>197</v>
      </c>
      <c r="B118" s="4" t="s">
        <v>198</v>
      </c>
      <c r="C118" s="4" t="s">
        <v>322</v>
      </c>
      <c r="D118" s="4">
        <v>2</v>
      </c>
      <c r="E118" s="4" t="s">
        <v>96</v>
      </c>
      <c r="F118" s="4" t="s">
        <v>327</v>
      </c>
      <c r="G118" s="4"/>
      <c r="H118" s="4"/>
    </row>
    <row r="119" spans="1:8">
      <c r="A119" s="4" t="s">
        <v>197</v>
      </c>
      <c r="B119" s="4" t="s">
        <v>198</v>
      </c>
      <c r="C119" s="4" t="s">
        <v>322</v>
      </c>
      <c r="D119" s="4">
        <v>3</v>
      </c>
      <c r="E119" s="4" t="s">
        <v>127</v>
      </c>
      <c r="F119" s="4" t="s">
        <v>275</v>
      </c>
      <c r="G119" s="4"/>
      <c r="H119" s="4"/>
    </row>
    <row r="120" spans="1:8">
      <c r="A120" s="4" t="s">
        <v>197</v>
      </c>
      <c r="B120" s="4" t="s">
        <v>198</v>
      </c>
      <c r="C120" s="4" t="s">
        <v>322</v>
      </c>
      <c r="D120" s="4">
        <v>4</v>
      </c>
      <c r="E120" s="4" t="s">
        <v>116</v>
      </c>
      <c r="F120" s="4" t="s">
        <v>329</v>
      </c>
      <c r="G120" s="4" t="s">
        <v>330</v>
      </c>
      <c r="H120" s="4"/>
    </row>
    <row r="121" spans="1:8">
      <c r="A121" s="4" t="s">
        <v>197</v>
      </c>
      <c r="B121" s="4" t="s">
        <v>198</v>
      </c>
      <c r="C121" s="4" t="s">
        <v>322</v>
      </c>
      <c r="D121" s="4">
        <v>5</v>
      </c>
      <c r="E121" s="4" t="s">
        <v>76</v>
      </c>
      <c r="F121" s="4" t="s">
        <v>271</v>
      </c>
      <c r="G121" s="4"/>
      <c r="H121" s="4"/>
    </row>
    <row r="122" spans="1:8">
      <c r="A122" s="4" t="s">
        <v>197</v>
      </c>
      <c r="B122" s="4" t="s">
        <v>198</v>
      </c>
      <c r="C122" s="4" t="s">
        <v>322</v>
      </c>
      <c r="D122" s="4">
        <v>6</v>
      </c>
      <c r="E122" s="4" t="s">
        <v>298</v>
      </c>
      <c r="F122" s="4" t="s">
        <v>299</v>
      </c>
      <c r="G122" s="4"/>
      <c r="H122" s="4"/>
    </row>
    <row r="123" spans="1:8">
      <c r="A123" s="4" t="s">
        <v>197</v>
      </c>
      <c r="B123" s="4" t="s">
        <v>198</v>
      </c>
      <c r="C123" s="4" t="s">
        <v>322</v>
      </c>
      <c r="D123" s="4">
        <v>7</v>
      </c>
      <c r="E123" s="4" t="s">
        <v>365</v>
      </c>
      <c r="F123" s="4" t="s">
        <v>366</v>
      </c>
      <c r="G123" s="4"/>
      <c r="H123" s="4"/>
    </row>
    <row r="124" spans="1:8">
      <c r="A124" s="4" t="s">
        <v>197</v>
      </c>
      <c r="B124" s="4" t="s">
        <v>198</v>
      </c>
      <c r="C124" s="4" t="s">
        <v>362</v>
      </c>
      <c r="D124" s="4"/>
      <c r="E124" s="4" t="s">
        <v>116</v>
      </c>
      <c r="F124" s="4" t="s">
        <v>329</v>
      </c>
      <c r="G124" s="4"/>
      <c r="H124" s="4" t="s">
        <v>367</v>
      </c>
    </row>
    <row r="125" spans="1:8">
      <c r="A125" s="4" t="s">
        <v>206</v>
      </c>
      <c r="B125" s="4" t="s">
        <v>207</v>
      </c>
      <c r="C125" s="4" t="s">
        <v>274</v>
      </c>
      <c r="D125" s="4"/>
      <c r="E125" s="4" t="s">
        <v>127</v>
      </c>
      <c r="F125" s="4" t="s">
        <v>275</v>
      </c>
      <c r="G125" s="4" t="s">
        <v>368</v>
      </c>
      <c r="H125" s="4"/>
    </row>
    <row r="126" spans="1:8">
      <c r="A126" s="4" t="s">
        <v>206</v>
      </c>
      <c r="B126" s="4" t="s">
        <v>207</v>
      </c>
      <c r="C126" s="4" t="s">
        <v>316</v>
      </c>
      <c r="D126" s="4"/>
      <c r="E126" s="4" t="s">
        <v>76</v>
      </c>
      <c r="F126" s="4" t="s">
        <v>271</v>
      </c>
      <c r="G126" s="4" t="s">
        <v>124</v>
      </c>
      <c r="H126" s="4"/>
    </row>
    <row r="127" spans="1:8">
      <c r="A127" s="4" t="s">
        <v>206</v>
      </c>
      <c r="B127" s="4" t="s">
        <v>207</v>
      </c>
      <c r="C127" s="4" t="s">
        <v>58</v>
      </c>
      <c r="D127" s="4">
        <v>1</v>
      </c>
      <c r="E127" s="4" t="s">
        <v>96</v>
      </c>
      <c r="F127" s="4" t="s">
        <v>327</v>
      </c>
      <c r="G127" s="4"/>
      <c r="H127" s="4" t="s">
        <v>318</v>
      </c>
    </row>
    <row r="128" spans="1:8">
      <c r="A128" s="4" t="s">
        <v>206</v>
      </c>
      <c r="B128" s="4" t="s">
        <v>207</v>
      </c>
      <c r="C128" s="4" t="s">
        <v>322</v>
      </c>
      <c r="D128" s="4">
        <v>1</v>
      </c>
      <c r="E128" s="4" t="s">
        <v>323</v>
      </c>
      <c r="F128" s="4" t="s">
        <v>324</v>
      </c>
      <c r="G128" s="4"/>
      <c r="H128" s="4"/>
    </row>
    <row r="129" spans="1:8">
      <c r="A129" s="4" t="s">
        <v>206</v>
      </c>
      <c r="B129" s="4" t="s">
        <v>207</v>
      </c>
      <c r="C129" s="4" t="s">
        <v>322</v>
      </c>
      <c r="D129" s="4">
        <v>2</v>
      </c>
      <c r="E129" s="4" t="s">
        <v>325</v>
      </c>
      <c r="F129" s="4" t="s">
        <v>326</v>
      </c>
      <c r="G129" s="4"/>
      <c r="H129" s="4"/>
    </row>
    <row r="130" spans="1:8">
      <c r="A130" s="4" t="s">
        <v>206</v>
      </c>
      <c r="B130" s="4" t="s">
        <v>207</v>
      </c>
      <c r="C130" s="4" t="s">
        <v>322</v>
      </c>
      <c r="D130" s="4">
        <v>3</v>
      </c>
      <c r="E130" s="4" t="s">
        <v>116</v>
      </c>
      <c r="F130" s="4" t="s">
        <v>329</v>
      </c>
      <c r="G130" s="4" t="s">
        <v>330</v>
      </c>
      <c r="H130" s="4"/>
    </row>
    <row r="131" spans="1:8">
      <c r="A131" s="4" t="s">
        <v>206</v>
      </c>
      <c r="B131" s="4" t="s">
        <v>207</v>
      </c>
      <c r="C131" s="4" t="s">
        <v>322</v>
      </c>
      <c r="D131" s="4">
        <v>4</v>
      </c>
      <c r="E131" s="4" t="s">
        <v>369</v>
      </c>
      <c r="F131" s="4" t="s">
        <v>370</v>
      </c>
      <c r="G131" s="4"/>
      <c r="H131" s="4"/>
    </row>
    <row r="132" spans="1:8">
      <c r="A132" s="4" t="s">
        <v>206</v>
      </c>
      <c r="B132" s="4" t="s">
        <v>207</v>
      </c>
      <c r="C132" s="4" t="s">
        <v>322</v>
      </c>
      <c r="D132" s="4">
        <v>5</v>
      </c>
      <c r="E132" s="4" t="s">
        <v>357</v>
      </c>
      <c r="F132" s="4" t="s">
        <v>358</v>
      </c>
      <c r="G132" s="4"/>
      <c r="H132" s="4"/>
    </row>
    <row r="133" spans="1:8">
      <c r="A133" s="4" t="s">
        <v>206</v>
      </c>
      <c r="B133" s="4" t="s">
        <v>207</v>
      </c>
      <c r="C133" s="4" t="s">
        <v>322</v>
      </c>
      <c r="D133" s="4">
        <v>6</v>
      </c>
      <c r="E133" s="4" t="s">
        <v>76</v>
      </c>
      <c r="F133" s="4" t="s">
        <v>271</v>
      </c>
      <c r="G133" s="4"/>
      <c r="H133" s="4"/>
    </row>
    <row r="134" spans="1:8" ht="24.95">
      <c r="A134" s="4" t="s">
        <v>213</v>
      </c>
      <c r="B134" s="4" t="s">
        <v>214</v>
      </c>
      <c r="C134" s="4" t="s">
        <v>274</v>
      </c>
      <c r="D134" s="4"/>
      <c r="E134" s="4" t="s">
        <v>127</v>
      </c>
      <c r="F134" s="4" t="s">
        <v>275</v>
      </c>
      <c r="G134" s="4" t="s">
        <v>371</v>
      </c>
      <c r="H134" s="4"/>
    </row>
    <row r="135" spans="1:8">
      <c r="A135" s="4" t="s">
        <v>213</v>
      </c>
      <c r="B135" s="4" t="s">
        <v>214</v>
      </c>
      <c r="C135" s="4" t="s">
        <v>316</v>
      </c>
      <c r="D135" s="4"/>
      <c r="E135" s="4" t="s">
        <v>76</v>
      </c>
      <c r="F135" s="4" t="s">
        <v>271</v>
      </c>
      <c r="G135" s="4" t="s">
        <v>77</v>
      </c>
      <c r="H135" s="4"/>
    </row>
    <row r="136" spans="1:8">
      <c r="A136" s="4" t="s">
        <v>213</v>
      </c>
      <c r="B136" s="4" t="s">
        <v>214</v>
      </c>
      <c r="C136" s="4" t="s">
        <v>58</v>
      </c>
      <c r="D136" s="4">
        <v>1</v>
      </c>
      <c r="E136" s="4" t="s">
        <v>217</v>
      </c>
      <c r="F136" s="4" t="s">
        <v>328</v>
      </c>
      <c r="G136" s="4"/>
      <c r="H136" s="4" t="s">
        <v>318</v>
      </c>
    </row>
    <row r="137" spans="1:8">
      <c r="A137" s="4" t="s">
        <v>213</v>
      </c>
      <c r="B137" s="4" t="s">
        <v>214</v>
      </c>
      <c r="C137" s="4" t="s">
        <v>59</v>
      </c>
      <c r="D137" s="4">
        <v>1</v>
      </c>
      <c r="E137" s="4" t="s">
        <v>218</v>
      </c>
      <c r="F137" s="4" t="s">
        <v>350</v>
      </c>
      <c r="G137" s="4"/>
      <c r="H137" s="4" t="s">
        <v>318</v>
      </c>
    </row>
    <row r="138" spans="1:8">
      <c r="A138" s="4" t="s">
        <v>213</v>
      </c>
      <c r="B138" s="4" t="s">
        <v>214</v>
      </c>
      <c r="C138" s="4" t="s">
        <v>322</v>
      </c>
      <c r="D138" s="4">
        <v>1</v>
      </c>
      <c r="E138" s="4" t="s">
        <v>116</v>
      </c>
      <c r="F138" s="4" t="s">
        <v>329</v>
      </c>
      <c r="G138" s="4" t="s">
        <v>330</v>
      </c>
      <c r="H138" s="4"/>
    </row>
    <row r="139" spans="1:8">
      <c r="A139" s="4" t="s">
        <v>213</v>
      </c>
      <c r="B139" s="4" t="s">
        <v>214</v>
      </c>
      <c r="C139" s="4" t="s">
        <v>331</v>
      </c>
      <c r="D139" s="4"/>
      <c r="E139" s="4" t="s">
        <v>217</v>
      </c>
      <c r="F139" s="4" t="s">
        <v>328</v>
      </c>
      <c r="G139" s="4" t="s">
        <v>359</v>
      </c>
      <c r="H139" s="4"/>
    </row>
    <row r="140" spans="1:8">
      <c r="A140" s="4" t="s">
        <v>222</v>
      </c>
      <c r="B140" s="4" t="s">
        <v>223</v>
      </c>
      <c r="C140" s="4" t="s">
        <v>274</v>
      </c>
      <c r="D140" s="4"/>
      <c r="E140" s="4" t="s">
        <v>127</v>
      </c>
      <c r="F140" s="4" t="s">
        <v>275</v>
      </c>
      <c r="G140" s="4" t="s">
        <v>315</v>
      </c>
      <c r="H140" s="4"/>
    </row>
    <row r="141" spans="1:8">
      <c r="A141" s="4" t="s">
        <v>222</v>
      </c>
      <c r="B141" s="4" t="s">
        <v>223</v>
      </c>
      <c r="C141" s="4" t="s">
        <v>316</v>
      </c>
      <c r="D141" s="4"/>
      <c r="E141" s="4" t="s">
        <v>76</v>
      </c>
      <c r="F141" s="4" t="s">
        <v>271</v>
      </c>
      <c r="G141" s="4" t="s">
        <v>77</v>
      </c>
      <c r="H141" s="4"/>
    </row>
    <row r="142" spans="1:8">
      <c r="A142" s="4" t="s">
        <v>222</v>
      </c>
      <c r="B142" s="4" t="s">
        <v>223</v>
      </c>
      <c r="C142" s="4" t="s">
        <v>58</v>
      </c>
      <c r="D142" s="4">
        <v>1</v>
      </c>
      <c r="E142" s="4" t="s">
        <v>372</v>
      </c>
      <c r="F142" s="4" t="s">
        <v>373</v>
      </c>
      <c r="G142" s="4"/>
      <c r="H142" s="4" t="s">
        <v>318</v>
      </c>
    </row>
    <row r="143" spans="1:8">
      <c r="A143" s="4" t="s">
        <v>222</v>
      </c>
      <c r="B143" s="4" t="s">
        <v>223</v>
      </c>
      <c r="C143" s="4" t="s">
        <v>58</v>
      </c>
      <c r="D143" s="4">
        <v>2</v>
      </c>
      <c r="E143" s="4" t="s">
        <v>374</v>
      </c>
      <c r="F143" s="4" t="s">
        <v>375</v>
      </c>
      <c r="G143" s="4"/>
      <c r="H143" s="4" t="s">
        <v>318</v>
      </c>
    </row>
    <row r="144" spans="1:8">
      <c r="A144" s="4" t="s">
        <v>222</v>
      </c>
      <c r="B144" s="4" t="s">
        <v>223</v>
      </c>
      <c r="C144" s="4" t="s">
        <v>322</v>
      </c>
      <c r="D144" s="4">
        <v>1</v>
      </c>
      <c r="E144" s="4" t="s">
        <v>323</v>
      </c>
      <c r="F144" s="4" t="s">
        <v>324</v>
      </c>
      <c r="G144" s="4"/>
      <c r="H144" s="4"/>
    </row>
    <row r="145" spans="1:8">
      <c r="A145" s="4" t="s">
        <v>222</v>
      </c>
      <c r="B145" s="4" t="s">
        <v>223</v>
      </c>
      <c r="C145" s="4" t="s">
        <v>322</v>
      </c>
      <c r="D145" s="4">
        <v>2</v>
      </c>
      <c r="E145" s="4" t="s">
        <v>325</v>
      </c>
      <c r="F145" s="4" t="s">
        <v>326</v>
      </c>
      <c r="G145" s="4"/>
      <c r="H145" s="4"/>
    </row>
    <row r="146" spans="1:8">
      <c r="A146" s="4" t="s">
        <v>222</v>
      </c>
      <c r="B146" s="4" t="s">
        <v>223</v>
      </c>
      <c r="C146" s="4" t="s">
        <v>322</v>
      </c>
      <c r="D146" s="4">
        <v>3</v>
      </c>
      <c r="E146" s="4" t="s">
        <v>116</v>
      </c>
      <c r="F146" s="4" t="s">
        <v>329</v>
      </c>
      <c r="G146" s="4" t="s">
        <v>330</v>
      </c>
      <c r="H146" s="4"/>
    </row>
    <row r="147" spans="1:8">
      <c r="A147" s="4" t="s">
        <v>222</v>
      </c>
      <c r="B147" s="4" t="s">
        <v>223</v>
      </c>
      <c r="C147" s="4" t="s">
        <v>331</v>
      </c>
      <c r="D147" s="4"/>
      <c r="E147" s="4" t="s">
        <v>372</v>
      </c>
      <c r="F147" s="4" t="s">
        <v>373</v>
      </c>
      <c r="G147" s="4" t="s">
        <v>349</v>
      </c>
      <c r="H147" s="4"/>
    </row>
    <row r="148" spans="1:8">
      <c r="A148" s="4" t="s">
        <v>230</v>
      </c>
      <c r="B148" s="4" t="s">
        <v>231</v>
      </c>
      <c r="C148" s="4" t="s">
        <v>274</v>
      </c>
      <c r="D148" s="4"/>
      <c r="E148" s="4" t="s">
        <v>127</v>
      </c>
      <c r="F148" s="4" t="s">
        <v>275</v>
      </c>
      <c r="G148" s="4" t="s">
        <v>315</v>
      </c>
      <c r="H148" s="4"/>
    </row>
    <row r="149" spans="1:8">
      <c r="A149" s="4" t="s">
        <v>230</v>
      </c>
      <c r="B149" s="4" t="s">
        <v>231</v>
      </c>
      <c r="C149" s="4" t="s">
        <v>316</v>
      </c>
      <c r="D149" s="4"/>
      <c r="E149" s="4" t="s">
        <v>76</v>
      </c>
      <c r="F149" s="4" t="s">
        <v>271</v>
      </c>
      <c r="G149" s="4" t="s">
        <v>77</v>
      </c>
      <c r="H149" s="4"/>
    </row>
    <row r="150" spans="1:8">
      <c r="A150" s="4" t="s">
        <v>230</v>
      </c>
      <c r="B150" s="4" t="s">
        <v>231</v>
      </c>
      <c r="C150" s="4" t="s">
        <v>58</v>
      </c>
      <c r="D150" s="4">
        <v>1</v>
      </c>
      <c r="E150" s="4" t="s">
        <v>233</v>
      </c>
      <c r="F150" s="4" t="s">
        <v>376</v>
      </c>
      <c r="G150" s="4"/>
      <c r="H150" s="4" t="s">
        <v>318</v>
      </c>
    </row>
    <row r="151" spans="1:8">
      <c r="A151" s="4" t="s">
        <v>230</v>
      </c>
      <c r="B151" s="4" t="s">
        <v>231</v>
      </c>
      <c r="C151" s="4" t="s">
        <v>59</v>
      </c>
      <c r="D151" s="4">
        <v>1</v>
      </c>
      <c r="E151" s="4" t="s">
        <v>234</v>
      </c>
      <c r="F151" s="4" t="s">
        <v>377</v>
      </c>
      <c r="G151" s="4"/>
      <c r="H151" s="4" t="s">
        <v>318</v>
      </c>
    </row>
    <row r="152" spans="1:8">
      <c r="A152" s="4" t="s">
        <v>230</v>
      </c>
      <c r="B152" s="4" t="s">
        <v>231</v>
      </c>
      <c r="C152" s="4" t="s">
        <v>322</v>
      </c>
      <c r="D152" s="4">
        <v>1</v>
      </c>
      <c r="E152" s="4" t="s">
        <v>116</v>
      </c>
      <c r="F152" s="4" t="s">
        <v>329</v>
      </c>
      <c r="G152" s="4" t="s">
        <v>330</v>
      </c>
      <c r="H152" s="4"/>
    </row>
    <row r="153" spans="1:8">
      <c r="A153" s="4" t="s">
        <v>230</v>
      </c>
      <c r="B153" s="4" t="s">
        <v>231</v>
      </c>
      <c r="C153" s="4" t="s">
        <v>322</v>
      </c>
      <c r="D153" s="4">
        <v>2</v>
      </c>
      <c r="E153" s="4" t="s">
        <v>378</v>
      </c>
      <c r="F153" s="4" t="s">
        <v>379</v>
      </c>
      <c r="G153" s="4"/>
      <c r="H153" s="4"/>
    </row>
    <row r="154" spans="1:8">
      <c r="A154" s="4" t="s">
        <v>230</v>
      </c>
      <c r="B154" s="4" t="s">
        <v>231</v>
      </c>
      <c r="C154" s="4" t="s">
        <v>331</v>
      </c>
      <c r="D154" s="4"/>
      <c r="E154" s="4" t="s">
        <v>233</v>
      </c>
      <c r="F154" s="4" t="s">
        <v>376</v>
      </c>
      <c r="G154" s="4" t="s">
        <v>347</v>
      </c>
      <c r="H154" s="4"/>
    </row>
    <row r="155" spans="1:8">
      <c r="A155" s="4" t="s">
        <v>230</v>
      </c>
      <c r="B155" s="4" t="s">
        <v>231</v>
      </c>
      <c r="C155" s="4" t="s">
        <v>336</v>
      </c>
      <c r="D155" s="4"/>
      <c r="E155" s="4" t="s">
        <v>234</v>
      </c>
      <c r="F155" s="4" t="s">
        <v>377</v>
      </c>
      <c r="G155" s="4" t="s">
        <v>347</v>
      </c>
      <c r="H155" s="4"/>
    </row>
    <row r="156" spans="1:8">
      <c r="A156" s="4" t="s">
        <v>238</v>
      </c>
      <c r="B156" s="4" t="s">
        <v>239</v>
      </c>
      <c r="C156" s="4" t="s">
        <v>316</v>
      </c>
      <c r="D156" s="4"/>
      <c r="E156" s="4" t="s">
        <v>241</v>
      </c>
      <c r="F156" s="4" t="s">
        <v>307</v>
      </c>
      <c r="G156" s="4" t="s">
        <v>189</v>
      </c>
      <c r="H156" s="4"/>
    </row>
    <row r="157" spans="1:8">
      <c r="A157" s="4" t="s">
        <v>238</v>
      </c>
      <c r="B157" s="4" t="s">
        <v>239</v>
      </c>
      <c r="C157" s="4" t="s">
        <v>322</v>
      </c>
      <c r="D157" s="4">
        <v>1</v>
      </c>
      <c r="E157" s="4" t="s">
        <v>323</v>
      </c>
      <c r="F157" s="4" t="s">
        <v>324</v>
      </c>
      <c r="G157" s="4"/>
      <c r="H157" s="4"/>
    </row>
    <row r="158" spans="1:8">
      <c r="A158" s="4" t="s">
        <v>238</v>
      </c>
      <c r="B158" s="4" t="s">
        <v>239</v>
      </c>
      <c r="C158" s="4" t="s">
        <v>322</v>
      </c>
      <c r="D158" s="4">
        <v>2</v>
      </c>
      <c r="E158" s="4" t="s">
        <v>325</v>
      </c>
      <c r="F158" s="4" t="s">
        <v>326</v>
      </c>
      <c r="G158" s="4"/>
      <c r="H158" s="4"/>
    </row>
    <row r="159" spans="1:8">
      <c r="A159" s="4" t="s">
        <v>238</v>
      </c>
      <c r="B159" s="4" t="s">
        <v>239</v>
      </c>
      <c r="C159" s="4" t="s">
        <v>322</v>
      </c>
      <c r="D159" s="4">
        <v>3</v>
      </c>
      <c r="E159" s="4" t="s">
        <v>96</v>
      </c>
      <c r="F159" s="4" t="s">
        <v>327</v>
      </c>
      <c r="G159" s="4"/>
      <c r="H159" s="4"/>
    </row>
    <row r="160" spans="1:8">
      <c r="A160" s="4" t="s">
        <v>238</v>
      </c>
      <c r="B160" s="4" t="s">
        <v>239</v>
      </c>
      <c r="C160" s="4" t="s">
        <v>322</v>
      </c>
      <c r="D160" s="4">
        <v>4</v>
      </c>
      <c r="E160" s="4" t="s">
        <v>127</v>
      </c>
      <c r="F160" s="4" t="s">
        <v>275</v>
      </c>
      <c r="G160" s="4"/>
      <c r="H160" s="4"/>
    </row>
    <row r="161" spans="1:8">
      <c r="A161" s="4" t="s">
        <v>238</v>
      </c>
      <c r="B161" s="4" t="s">
        <v>239</v>
      </c>
      <c r="C161" s="4" t="s">
        <v>322</v>
      </c>
      <c r="D161" s="4">
        <v>5</v>
      </c>
      <c r="E161" s="4" t="s">
        <v>241</v>
      </c>
      <c r="F161" s="4" t="s">
        <v>307</v>
      </c>
      <c r="G161" s="4"/>
      <c r="H161" s="4"/>
    </row>
    <row r="162" spans="1:8">
      <c r="A162" s="4" t="s">
        <v>238</v>
      </c>
      <c r="B162" s="4" t="s">
        <v>239</v>
      </c>
      <c r="C162" s="4" t="s">
        <v>322</v>
      </c>
      <c r="D162" s="4">
        <v>6</v>
      </c>
      <c r="E162" s="4" t="s">
        <v>116</v>
      </c>
      <c r="F162" s="4" t="s">
        <v>329</v>
      </c>
      <c r="G162" s="4" t="s">
        <v>330</v>
      </c>
      <c r="H162" s="4"/>
    </row>
    <row r="163" spans="1:8">
      <c r="A163" s="4" t="s">
        <v>238</v>
      </c>
      <c r="B163" s="4" t="s">
        <v>239</v>
      </c>
      <c r="C163" s="4" t="s">
        <v>362</v>
      </c>
      <c r="D163" s="4"/>
      <c r="E163" s="4" t="s">
        <v>241</v>
      </c>
      <c r="F163" s="4" t="s">
        <v>307</v>
      </c>
      <c r="G163" s="4"/>
      <c r="H163" s="4" t="s">
        <v>318</v>
      </c>
    </row>
    <row r="164" spans="1:8">
      <c r="A164" s="4" t="s">
        <v>245</v>
      </c>
      <c r="B164" s="4" t="s">
        <v>246</v>
      </c>
      <c r="C164" s="4" t="s">
        <v>274</v>
      </c>
      <c r="D164" s="4"/>
      <c r="E164" s="4" t="s">
        <v>127</v>
      </c>
      <c r="F164" s="4" t="s">
        <v>275</v>
      </c>
      <c r="G164" s="4" t="s">
        <v>315</v>
      </c>
      <c r="H164" s="4"/>
    </row>
    <row r="165" spans="1:8">
      <c r="A165" s="4" t="s">
        <v>245</v>
      </c>
      <c r="B165" s="4" t="s">
        <v>246</v>
      </c>
      <c r="C165" s="4" t="s">
        <v>274</v>
      </c>
      <c r="D165" s="4"/>
      <c r="E165" s="4" t="s">
        <v>76</v>
      </c>
      <c r="F165" s="4" t="s">
        <v>271</v>
      </c>
      <c r="G165" s="4" t="s">
        <v>380</v>
      </c>
      <c r="H165" s="4"/>
    </row>
    <row r="166" spans="1:8">
      <c r="A166" s="4" t="s">
        <v>245</v>
      </c>
      <c r="B166" s="4" t="s">
        <v>246</v>
      </c>
      <c r="C166" s="4" t="s">
        <v>316</v>
      </c>
      <c r="D166" s="4"/>
      <c r="E166" s="4" t="s">
        <v>76</v>
      </c>
      <c r="F166" s="4" t="s">
        <v>271</v>
      </c>
      <c r="G166" s="4" t="s">
        <v>124</v>
      </c>
      <c r="H166" s="4"/>
    </row>
    <row r="167" spans="1:8">
      <c r="A167" s="4" t="s">
        <v>245</v>
      </c>
      <c r="B167" s="4" t="s">
        <v>246</v>
      </c>
      <c r="C167" s="4" t="s">
        <v>58</v>
      </c>
      <c r="D167" s="4">
        <v>1</v>
      </c>
      <c r="E167" s="4" t="s">
        <v>96</v>
      </c>
      <c r="F167" s="4" t="s">
        <v>327</v>
      </c>
      <c r="G167" s="4"/>
      <c r="H167" s="4" t="s">
        <v>318</v>
      </c>
    </row>
    <row r="168" spans="1:8">
      <c r="A168" s="4" t="s">
        <v>245</v>
      </c>
      <c r="B168" s="4" t="s">
        <v>246</v>
      </c>
      <c r="C168" s="4" t="s">
        <v>322</v>
      </c>
      <c r="D168" s="4">
        <v>1</v>
      </c>
      <c r="E168" s="4" t="s">
        <v>323</v>
      </c>
      <c r="F168" s="4" t="s">
        <v>324</v>
      </c>
      <c r="G168" s="4"/>
      <c r="H168" s="4"/>
    </row>
    <row r="169" spans="1:8">
      <c r="A169" s="4" t="s">
        <v>245</v>
      </c>
      <c r="B169" s="4" t="s">
        <v>246</v>
      </c>
      <c r="C169" s="4" t="s">
        <v>322</v>
      </c>
      <c r="D169" s="4">
        <v>2</v>
      </c>
      <c r="E169" s="4" t="s">
        <v>116</v>
      </c>
      <c r="F169" s="4" t="s">
        <v>329</v>
      </c>
      <c r="G169" s="4" t="s">
        <v>381</v>
      </c>
      <c r="H169" s="4"/>
    </row>
    <row r="170" spans="1:8">
      <c r="A170" s="4" t="s">
        <v>245</v>
      </c>
      <c r="B170" s="4" t="s">
        <v>246</v>
      </c>
      <c r="C170" s="4" t="s">
        <v>322</v>
      </c>
      <c r="D170" s="4">
        <v>3</v>
      </c>
      <c r="E170" s="4" t="s">
        <v>382</v>
      </c>
      <c r="F170" s="4" t="s">
        <v>383</v>
      </c>
      <c r="G170" s="4" t="s">
        <v>381</v>
      </c>
      <c r="H170" s="4"/>
    </row>
    <row r="171" spans="1:8">
      <c r="A171" s="4" t="s">
        <v>245</v>
      </c>
      <c r="B171" s="4" t="s">
        <v>246</v>
      </c>
      <c r="C171" s="4" t="s">
        <v>322</v>
      </c>
      <c r="D171" s="4">
        <v>4</v>
      </c>
      <c r="E171" s="4" t="s">
        <v>384</v>
      </c>
      <c r="F171" s="4" t="s">
        <v>385</v>
      </c>
      <c r="G171" s="4"/>
      <c r="H171" s="4"/>
    </row>
    <row r="172" spans="1:8">
      <c r="A172" s="4" t="s">
        <v>245</v>
      </c>
      <c r="B172" s="4" t="s">
        <v>246</v>
      </c>
      <c r="C172" s="4" t="s">
        <v>322</v>
      </c>
      <c r="D172" s="4">
        <v>5</v>
      </c>
      <c r="E172" s="4" t="s">
        <v>76</v>
      </c>
      <c r="F172" s="4" t="s">
        <v>271</v>
      </c>
      <c r="G172" s="4"/>
      <c r="H172" s="4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2"/>
  <sheetViews>
    <sheetView zoomScale="90" workbookViewId="0">
      <pane xSplit="2" ySplit="1" topLeftCell="C2" activePane="bottomRight" state="frozen"/>
      <selection pane="bottomRight"/>
      <selection pane="bottomLeft"/>
      <selection pane="topRight"/>
    </sheetView>
  </sheetViews>
  <sheetFormatPr defaultRowHeight="14.45"/>
  <cols>
    <col min="1" max="1" width="30" customWidth="1"/>
    <col min="2" max="2" width="38" customWidth="1"/>
    <col min="3" max="22" width="7" customWidth="1"/>
    <col min="23" max="23" width="10" customWidth="1"/>
  </cols>
  <sheetData>
    <row r="1" spans="1:23" ht="30" customHeight="1">
      <c r="A1" s="3" t="s">
        <v>254</v>
      </c>
      <c r="B1" s="3" t="s">
        <v>255</v>
      </c>
      <c r="C1" s="3" t="s">
        <v>69</v>
      </c>
      <c r="D1" s="3" t="s">
        <v>91</v>
      </c>
      <c r="E1" s="3" t="s">
        <v>101</v>
      </c>
      <c r="F1" s="3" t="s">
        <v>108</v>
      </c>
      <c r="G1" s="3" t="s">
        <v>120</v>
      </c>
      <c r="H1" s="3" t="s">
        <v>133</v>
      </c>
      <c r="I1" s="3" t="s">
        <v>143</v>
      </c>
      <c r="J1" s="3" t="s">
        <v>149</v>
      </c>
      <c r="K1" s="3" t="s">
        <v>156</v>
      </c>
      <c r="L1" s="3" t="s">
        <v>164</v>
      </c>
      <c r="M1" s="3" t="s">
        <v>172</v>
      </c>
      <c r="N1" s="3" t="s">
        <v>179</v>
      </c>
      <c r="O1" s="3" t="s">
        <v>185</v>
      </c>
      <c r="P1" s="3" t="s">
        <v>197</v>
      </c>
      <c r="Q1" s="3" t="s">
        <v>206</v>
      </c>
      <c r="R1" s="3" t="s">
        <v>213</v>
      </c>
      <c r="S1" s="3" t="s">
        <v>222</v>
      </c>
      <c r="T1" s="3" t="s">
        <v>230</v>
      </c>
      <c r="U1" s="3" t="s">
        <v>238</v>
      </c>
      <c r="V1" s="3" t="s">
        <v>245</v>
      </c>
      <c r="W1" s="3" t="s">
        <v>386</v>
      </c>
    </row>
    <row r="2" spans="1:23">
      <c r="A2" s="4" t="s">
        <v>325</v>
      </c>
      <c r="B2" s="4" t="s">
        <v>326</v>
      </c>
      <c r="C2" s="7" t="s">
        <v>387</v>
      </c>
      <c r="D2" s="7" t="s">
        <v>387</v>
      </c>
      <c r="E2" s="7" t="s">
        <v>387</v>
      </c>
      <c r="F2" s="8"/>
      <c r="G2" s="7" t="s">
        <v>387</v>
      </c>
      <c r="H2" s="8"/>
      <c r="I2" s="8"/>
      <c r="J2" s="7" t="s">
        <v>387</v>
      </c>
      <c r="K2" s="8"/>
      <c r="L2" s="7" t="s">
        <v>387</v>
      </c>
      <c r="M2" s="7" t="s">
        <v>387</v>
      </c>
      <c r="N2" s="7" t="s">
        <v>387</v>
      </c>
      <c r="O2" s="7" t="s">
        <v>387</v>
      </c>
      <c r="P2" s="8"/>
      <c r="Q2" s="7" t="s">
        <v>387</v>
      </c>
      <c r="R2" s="8"/>
      <c r="S2" s="7" t="s">
        <v>387</v>
      </c>
      <c r="T2" s="8"/>
      <c r="U2" s="7" t="s">
        <v>387</v>
      </c>
      <c r="V2" s="8"/>
      <c r="W2" s="4">
        <f t="shared" ref="W2:W30" si="0">COUNTIF(C2:V2,"?*")</f>
        <v>12</v>
      </c>
    </row>
    <row r="3" spans="1:23">
      <c r="A3" s="4" t="s">
        <v>234</v>
      </c>
      <c r="B3" s="4" t="s">
        <v>377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7" t="s">
        <v>388</v>
      </c>
      <c r="U3" s="8"/>
      <c r="V3" s="8"/>
      <c r="W3" s="4">
        <f t="shared" si="0"/>
        <v>1</v>
      </c>
    </row>
    <row r="4" spans="1:23">
      <c r="A4" s="4" t="s">
        <v>233</v>
      </c>
      <c r="B4" s="4" t="s">
        <v>376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7" t="s">
        <v>389</v>
      </c>
      <c r="U4" s="8"/>
      <c r="V4" s="8"/>
      <c r="W4" s="4">
        <f t="shared" si="0"/>
        <v>1</v>
      </c>
    </row>
    <row r="5" spans="1:23">
      <c r="A5" s="4" t="s">
        <v>378</v>
      </c>
      <c r="B5" s="4" t="s">
        <v>379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7" t="s">
        <v>387</v>
      </c>
      <c r="U5" s="8"/>
      <c r="V5" s="8"/>
      <c r="W5" s="4">
        <f t="shared" si="0"/>
        <v>1</v>
      </c>
    </row>
    <row r="6" spans="1:23">
      <c r="A6" s="4" t="s">
        <v>382</v>
      </c>
      <c r="B6" s="4" t="s">
        <v>383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7" t="s">
        <v>390</v>
      </c>
      <c r="W6" s="4">
        <f t="shared" si="0"/>
        <v>1</v>
      </c>
    </row>
    <row r="7" spans="1:23">
      <c r="A7" s="4" t="s">
        <v>116</v>
      </c>
      <c r="B7" s="4" t="s">
        <v>329</v>
      </c>
      <c r="C7" s="7" t="s">
        <v>390</v>
      </c>
      <c r="D7" s="7" t="s">
        <v>390</v>
      </c>
      <c r="E7" s="7" t="s">
        <v>390</v>
      </c>
      <c r="F7" s="7" t="s">
        <v>390</v>
      </c>
      <c r="G7" s="7" t="s">
        <v>390</v>
      </c>
      <c r="H7" s="7" t="s">
        <v>390</v>
      </c>
      <c r="I7" s="7" t="s">
        <v>390</v>
      </c>
      <c r="J7" s="7" t="s">
        <v>390</v>
      </c>
      <c r="K7" s="7" t="s">
        <v>390</v>
      </c>
      <c r="L7" s="7" t="s">
        <v>390</v>
      </c>
      <c r="M7" s="7" t="s">
        <v>390</v>
      </c>
      <c r="N7" s="7" t="s">
        <v>390</v>
      </c>
      <c r="O7" s="7" t="s">
        <v>390</v>
      </c>
      <c r="P7" s="7" t="s">
        <v>391</v>
      </c>
      <c r="Q7" s="7" t="s">
        <v>390</v>
      </c>
      <c r="R7" s="7" t="s">
        <v>390</v>
      </c>
      <c r="S7" s="7" t="s">
        <v>390</v>
      </c>
      <c r="T7" s="7" t="s">
        <v>390</v>
      </c>
      <c r="U7" s="7" t="s">
        <v>390</v>
      </c>
      <c r="V7" s="7" t="s">
        <v>390</v>
      </c>
      <c r="W7" s="4">
        <f t="shared" si="0"/>
        <v>20</v>
      </c>
    </row>
    <row r="8" spans="1:23">
      <c r="A8" s="4" t="s">
        <v>76</v>
      </c>
      <c r="B8" s="4" t="s">
        <v>271</v>
      </c>
      <c r="C8" s="7" t="s">
        <v>392</v>
      </c>
      <c r="D8" s="7" t="s">
        <v>393</v>
      </c>
      <c r="E8" s="7" t="s">
        <v>393</v>
      </c>
      <c r="F8" s="7" t="s">
        <v>394</v>
      </c>
      <c r="G8" s="7" t="s">
        <v>393</v>
      </c>
      <c r="H8" s="7" t="s">
        <v>392</v>
      </c>
      <c r="I8" s="7" t="s">
        <v>395</v>
      </c>
      <c r="J8" s="7" t="s">
        <v>393</v>
      </c>
      <c r="K8" s="7" t="s">
        <v>395</v>
      </c>
      <c r="L8" s="7" t="s">
        <v>395</v>
      </c>
      <c r="M8" s="7" t="s">
        <v>395</v>
      </c>
      <c r="N8" s="7" t="s">
        <v>395</v>
      </c>
      <c r="O8" s="7" t="s">
        <v>396</v>
      </c>
      <c r="P8" s="7" t="s">
        <v>397</v>
      </c>
      <c r="Q8" s="7" t="s">
        <v>393</v>
      </c>
      <c r="R8" s="7" t="s">
        <v>395</v>
      </c>
      <c r="S8" s="7" t="s">
        <v>395</v>
      </c>
      <c r="T8" s="7" t="s">
        <v>395</v>
      </c>
      <c r="U8" s="8"/>
      <c r="V8" s="7" t="s">
        <v>397</v>
      </c>
      <c r="W8" s="4">
        <f t="shared" si="0"/>
        <v>19</v>
      </c>
    </row>
    <row r="9" spans="1:23">
      <c r="A9" s="4" t="s">
        <v>319</v>
      </c>
      <c r="B9" s="4" t="s">
        <v>320</v>
      </c>
      <c r="C9" s="7" t="s">
        <v>389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4">
        <f t="shared" si="0"/>
        <v>1</v>
      </c>
    </row>
    <row r="10" spans="1:23">
      <c r="A10" s="4" t="s">
        <v>114</v>
      </c>
      <c r="B10" s="4" t="s">
        <v>333</v>
      </c>
      <c r="C10" s="8"/>
      <c r="D10" s="8"/>
      <c r="E10" s="8"/>
      <c r="F10" s="7" t="s">
        <v>389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4">
        <f t="shared" si="0"/>
        <v>1</v>
      </c>
    </row>
    <row r="11" spans="1:23">
      <c r="A11" s="4" t="s">
        <v>351</v>
      </c>
      <c r="B11" s="4" t="s">
        <v>352</v>
      </c>
      <c r="C11" s="8"/>
      <c r="D11" s="8"/>
      <c r="E11" s="8"/>
      <c r="F11" s="8"/>
      <c r="G11" s="8"/>
      <c r="H11" s="8"/>
      <c r="I11" s="8"/>
      <c r="J11" s="8"/>
      <c r="K11" s="7" t="s">
        <v>387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4">
        <f t="shared" si="0"/>
        <v>1</v>
      </c>
    </row>
    <row r="12" spans="1:23">
      <c r="A12" s="4" t="s">
        <v>384</v>
      </c>
      <c r="B12" s="4" t="s">
        <v>385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7" t="s">
        <v>387</v>
      </c>
      <c r="W12" s="4">
        <f t="shared" si="0"/>
        <v>1</v>
      </c>
    </row>
    <row r="13" spans="1:23">
      <c r="A13" s="4" t="s">
        <v>369</v>
      </c>
      <c r="B13" s="4" t="s">
        <v>370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7" t="s">
        <v>387</v>
      </c>
      <c r="R13" s="8"/>
      <c r="S13" s="8"/>
      <c r="T13" s="8"/>
      <c r="U13" s="8"/>
      <c r="V13" s="8"/>
      <c r="W13" s="4">
        <f t="shared" si="0"/>
        <v>1</v>
      </c>
    </row>
    <row r="14" spans="1:23">
      <c r="A14" s="4" t="s">
        <v>340</v>
      </c>
      <c r="B14" s="4" t="s">
        <v>341</v>
      </c>
      <c r="C14" s="8"/>
      <c r="D14" s="8"/>
      <c r="E14" s="8"/>
      <c r="F14" s="8"/>
      <c r="G14" s="7" t="s">
        <v>390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4">
        <f t="shared" si="0"/>
        <v>1</v>
      </c>
    </row>
    <row r="15" spans="1:23">
      <c r="A15" s="4" t="s">
        <v>139</v>
      </c>
      <c r="B15" s="4" t="s">
        <v>345</v>
      </c>
      <c r="C15" s="8"/>
      <c r="D15" s="8"/>
      <c r="E15" s="8"/>
      <c r="F15" s="8"/>
      <c r="G15" s="8"/>
      <c r="H15" s="7" t="s">
        <v>388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4">
        <f t="shared" si="0"/>
        <v>1</v>
      </c>
    </row>
    <row r="16" spans="1:23">
      <c r="A16" s="4" t="s">
        <v>298</v>
      </c>
      <c r="B16" s="4" t="s">
        <v>299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7" t="s">
        <v>398</v>
      </c>
      <c r="Q16" s="8"/>
      <c r="R16" s="8"/>
      <c r="S16" s="8"/>
      <c r="T16" s="8"/>
      <c r="U16" s="8"/>
      <c r="V16" s="8"/>
      <c r="W16" s="4">
        <f t="shared" si="0"/>
        <v>1</v>
      </c>
    </row>
    <row r="17" spans="1:23">
      <c r="A17" s="4" t="s">
        <v>365</v>
      </c>
      <c r="B17" s="4" t="s">
        <v>366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7" t="s">
        <v>387</v>
      </c>
      <c r="Q17" s="8"/>
      <c r="R17" s="8"/>
      <c r="S17" s="8"/>
      <c r="T17" s="8"/>
      <c r="U17" s="8"/>
      <c r="V17" s="8"/>
      <c r="W17" s="4">
        <f t="shared" si="0"/>
        <v>1</v>
      </c>
    </row>
    <row r="18" spans="1:23">
      <c r="A18" s="4" t="s">
        <v>372</v>
      </c>
      <c r="B18" s="4" t="s">
        <v>373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7" t="s">
        <v>389</v>
      </c>
      <c r="T18" s="8"/>
      <c r="U18" s="8"/>
      <c r="V18" s="8"/>
      <c r="W18" s="4">
        <f t="shared" si="0"/>
        <v>1</v>
      </c>
    </row>
    <row r="19" spans="1:23">
      <c r="A19" s="4" t="s">
        <v>342</v>
      </c>
      <c r="B19" s="4" t="s">
        <v>343</v>
      </c>
      <c r="C19" s="8"/>
      <c r="D19" s="8"/>
      <c r="E19" s="8"/>
      <c r="F19" s="8"/>
      <c r="G19" s="7" t="s">
        <v>387</v>
      </c>
      <c r="H19" s="8"/>
      <c r="I19" s="8"/>
      <c r="J19" s="8"/>
      <c r="K19" s="8"/>
      <c r="L19" s="8"/>
      <c r="M19" s="8"/>
      <c r="N19" s="8"/>
      <c r="O19" s="7" t="s">
        <v>387</v>
      </c>
      <c r="P19" s="8"/>
      <c r="Q19" s="8"/>
      <c r="R19" s="8"/>
      <c r="S19" s="8"/>
      <c r="T19" s="8"/>
      <c r="U19" s="8"/>
      <c r="V19" s="8"/>
      <c r="W19" s="4">
        <f t="shared" si="0"/>
        <v>2</v>
      </c>
    </row>
    <row r="20" spans="1:23">
      <c r="A20" s="4" t="s">
        <v>323</v>
      </c>
      <c r="B20" s="4" t="s">
        <v>324</v>
      </c>
      <c r="C20" s="7" t="s">
        <v>387</v>
      </c>
      <c r="D20" s="7" t="s">
        <v>387</v>
      </c>
      <c r="E20" s="7" t="s">
        <v>387</v>
      </c>
      <c r="F20" s="8"/>
      <c r="G20" s="7" t="s">
        <v>387</v>
      </c>
      <c r="H20" s="8"/>
      <c r="I20" s="8"/>
      <c r="J20" s="7" t="s">
        <v>387</v>
      </c>
      <c r="K20" s="7" t="s">
        <v>387</v>
      </c>
      <c r="L20" s="7" t="s">
        <v>387</v>
      </c>
      <c r="M20" s="7" t="s">
        <v>387</v>
      </c>
      <c r="N20" s="7" t="s">
        <v>387</v>
      </c>
      <c r="O20" s="7" t="s">
        <v>387</v>
      </c>
      <c r="P20" s="7" t="s">
        <v>387</v>
      </c>
      <c r="Q20" s="7" t="s">
        <v>387</v>
      </c>
      <c r="R20" s="8"/>
      <c r="S20" s="7" t="s">
        <v>387</v>
      </c>
      <c r="T20" s="8"/>
      <c r="U20" s="7" t="s">
        <v>387</v>
      </c>
      <c r="V20" s="7" t="s">
        <v>387</v>
      </c>
      <c r="W20" s="4">
        <f t="shared" si="0"/>
        <v>15</v>
      </c>
    </row>
    <row r="21" spans="1:23">
      <c r="A21" s="4" t="s">
        <v>96</v>
      </c>
      <c r="B21" s="4" t="s">
        <v>327</v>
      </c>
      <c r="C21" s="7" t="s">
        <v>387</v>
      </c>
      <c r="D21" s="7" t="s">
        <v>389</v>
      </c>
      <c r="E21" s="7" t="s">
        <v>389</v>
      </c>
      <c r="F21" s="8"/>
      <c r="G21" s="7" t="s">
        <v>387</v>
      </c>
      <c r="H21" s="8"/>
      <c r="I21" s="7" t="s">
        <v>389</v>
      </c>
      <c r="J21" s="7" t="s">
        <v>389</v>
      </c>
      <c r="K21" s="7" t="s">
        <v>389</v>
      </c>
      <c r="L21" s="7" t="s">
        <v>387</v>
      </c>
      <c r="M21" s="7" t="s">
        <v>387</v>
      </c>
      <c r="N21" s="7" t="s">
        <v>387</v>
      </c>
      <c r="O21" s="7" t="s">
        <v>387</v>
      </c>
      <c r="P21" s="7" t="s">
        <v>387</v>
      </c>
      <c r="Q21" s="7" t="s">
        <v>389</v>
      </c>
      <c r="R21" s="8"/>
      <c r="S21" s="8"/>
      <c r="T21" s="8"/>
      <c r="U21" s="7" t="s">
        <v>387</v>
      </c>
      <c r="V21" s="7" t="s">
        <v>389</v>
      </c>
      <c r="W21" s="4">
        <f t="shared" si="0"/>
        <v>15</v>
      </c>
    </row>
    <row r="22" spans="1:23">
      <c r="A22" s="4" t="s">
        <v>374</v>
      </c>
      <c r="B22" s="4" t="s">
        <v>375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7" t="s">
        <v>389</v>
      </c>
      <c r="T22" s="8"/>
      <c r="U22" s="8"/>
      <c r="V22" s="8"/>
      <c r="W22" s="4">
        <f t="shared" si="0"/>
        <v>1</v>
      </c>
    </row>
    <row r="23" spans="1:23">
      <c r="A23" s="4" t="s">
        <v>338</v>
      </c>
      <c r="B23" s="4" t="s">
        <v>339</v>
      </c>
      <c r="C23" s="8"/>
      <c r="D23" s="8"/>
      <c r="E23" s="8"/>
      <c r="F23" s="8"/>
      <c r="G23" s="7" t="s">
        <v>387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4">
        <f t="shared" si="0"/>
        <v>1</v>
      </c>
    </row>
    <row r="24" spans="1:23">
      <c r="A24" s="4" t="s">
        <v>241</v>
      </c>
      <c r="B24" s="4" t="s">
        <v>307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7" t="s">
        <v>396</v>
      </c>
      <c r="V24" s="8"/>
      <c r="W24" s="4">
        <f t="shared" si="0"/>
        <v>1</v>
      </c>
    </row>
    <row r="25" spans="1:23">
      <c r="A25" s="4" t="s">
        <v>127</v>
      </c>
      <c r="B25" s="4" t="s">
        <v>275</v>
      </c>
      <c r="C25" s="7" t="s">
        <v>399</v>
      </c>
      <c r="D25" s="7" t="s">
        <v>399</v>
      </c>
      <c r="E25" s="7" t="s">
        <v>399</v>
      </c>
      <c r="F25" s="7" t="s">
        <v>399</v>
      </c>
      <c r="G25" s="7" t="s">
        <v>400</v>
      </c>
      <c r="H25" s="7" t="s">
        <v>399</v>
      </c>
      <c r="I25" s="7" t="s">
        <v>401</v>
      </c>
      <c r="J25" s="7" t="s">
        <v>399</v>
      </c>
      <c r="K25" s="7" t="s">
        <v>387</v>
      </c>
      <c r="L25" s="7" t="s">
        <v>389</v>
      </c>
      <c r="M25" s="7" t="s">
        <v>399</v>
      </c>
      <c r="N25" s="7" t="s">
        <v>399</v>
      </c>
      <c r="O25" s="7" t="s">
        <v>398</v>
      </c>
      <c r="P25" s="7" t="s">
        <v>398</v>
      </c>
      <c r="Q25" s="7" t="s">
        <v>399</v>
      </c>
      <c r="R25" s="7" t="s">
        <v>399</v>
      </c>
      <c r="S25" s="7" t="s">
        <v>399</v>
      </c>
      <c r="T25" s="7" t="s">
        <v>399</v>
      </c>
      <c r="U25" s="7" t="s">
        <v>387</v>
      </c>
      <c r="V25" s="7" t="s">
        <v>399</v>
      </c>
      <c r="W25" s="4">
        <f t="shared" si="0"/>
        <v>20</v>
      </c>
    </row>
    <row r="26" spans="1:23">
      <c r="A26" s="4" t="s">
        <v>217</v>
      </c>
      <c r="B26" s="4" t="s">
        <v>328</v>
      </c>
      <c r="C26" s="7" t="s">
        <v>387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7" t="s">
        <v>389</v>
      </c>
      <c r="S26" s="8"/>
      <c r="T26" s="8"/>
      <c r="U26" s="8"/>
      <c r="V26" s="8"/>
      <c r="W26" s="4">
        <f t="shared" si="0"/>
        <v>2</v>
      </c>
    </row>
    <row r="27" spans="1:23" ht="24.95">
      <c r="A27" s="4" t="s">
        <v>402</v>
      </c>
      <c r="B27" s="4" t="s">
        <v>354</v>
      </c>
      <c r="C27" s="8"/>
      <c r="D27" s="8"/>
      <c r="E27" s="8"/>
      <c r="F27" s="8"/>
      <c r="G27" s="8"/>
      <c r="H27" s="8"/>
      <c r="I27" s="8"/>
      <c r="J27" s="8"/>
      <c r="K27" s="7" t="s">
        <v>403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4">
        <f t="shared" si="0"/>
        <v>1</v>
      </c>
    </row>
    <row r="28" spans="1:23">
      <c r="A28" s="4" t="s">
        <v>357</v>
      </c>
      <c r="B28" s="4" t="s">
        <v>358</v>
      </c>
      <c r="C28" s="8"/>
      <c r="D28" s="8"/>
      <c r="E28" s="8"/>
      <c r="F28" s="8"/>
      <c r="G28" s="8"/>
      <c r="H28" s="8"/>
      <c r="I28" s="8"/>
      <c r="J28" s="8"/>
      <c r="K28" s="8"/>
      <c r="L28" s="7" t="s">
        <v>387</v>
      </c>
      <c r="M28" s="7" t="s">
        <v>387</v>
      </c>
      <c r="N28" s="7" t="s">
        <v>387</v>
      </c>
      <c r="O28" s="8"/>
      <c r="P28" s="8"/>
      <c r="Q28" s="7" t="s">
        <v>387</v>
      </c>
      <c r="R28" s="8"/>
      <c r="S28" s="8"/>
      <c r="T28" s="8"/>
      <c r="U28" s="8"/>
      <c r="V28" s="8"/>
      <c r="W28" s="4">
        <f t="shared" si="0"/>
        <v>4</v>
      </c>
    </row>
    <row r="29" spans="1:23">
      <c r="A29" s="4" t="s">
        <v>175</v>
      </c>
      <c r="B29" s="4" t="s">
        <v>356</v>
      </c>
      <c r="C29" s="8"/>
      <c r="D29" s="8"/>
      <c r="E29" s="8"/>
      <c r="F29" s="8"/>
      <c r="G29" s="8"/>
      <c r="H29" s="8"/>
      <c r="I29" s="8"/>
      <c r="J29" s="8"/>
      <c r="K29" s="8"/>
      <c r="L29" s="7" t="s">
        <v>389</v>
      </c>
      <c r="M29" s="7" t="s">
        <v>389</v>
      </c>
      <c r="N29" s="7" t="s">
        <v>389</v>
      </c>
      <c r="O29" s="8"/>
      <c r="P29" s="8"/>
      <c r="Q29" s="8"/>
      <c r="R29" s="8"/>
      <c r="S29" s="8"/>
      <c r="T29" s="8"/>
      <c r="U29" s="8"/>
      <c r="V29" s="8"/>
      <c r="W29" s="4">
        <f t="shared" si="0"/>
        <v>3</v>
      </c>
    </row>
    <row r="30" spans="1:23">
      <c r="A30" s="4" t="s">
        <v>218</v>
      </c>
      <c r="B30" s="4" t="s">
        <v>350</v>
      </c>
      <c r="C30" s="8"/>
      <c r="D30" s="8"/>
      <c r="E30" s="8"/>
      <c r="F30" s="8"/>
      <c r="G30" s="8"/>
      <c r="H30" s="8"/>
      <c r="I30" s="8"/>
      <c r="J30" s="8"/>
      <c r="K30" s="7" t="s">
        <v>387</v>
      </c>
      <c r="L30" s="8"/>
      <c r="M30" s="8"/>
      <c r="N30" s="8"/>
      <c r="O30" s="8"/>
      <c r="P30" s="8"/>
      <c r="Q30" s="8"/>
      <c r="R30" s="7" t="s">
        <v>388</v>
      </c>
      <c r="S30" s="8"/>
      <c r="T30" s="8"/>
      <c r="U30" s="8"/>
      <c r="V30" s="8"/>
      <c r="W30" s="4">
        <f t="shared" si="0"/>
        <v>2</v>
      </c>
    </row>
    <row r="32" spans="1:23">
      <c r="A32" s="9" t="s">
        <v>41</v>
      </c>
      <c r="B32" s="10" t="s">
        <v>404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zoomScale="90" workbookViewId="0">
      <pane xSplit="2" ySplit="1" topLeftCell="C2" activePane="bottomRight" state="frozen"/>
      <selection pane="bottomRight"/>
      <selection pane="bottomLeft"/>
      <selection pane="topRight"/>
    </sheetView>
  </sheetViews>
  <sheetFormatPr defaultRowHeight="14.45"/>
  <cols>
    <col min="1" max="1" width="11" customWidth="1"/>
    <col min="2" max="3" width="34" customWidth="1"/>
    <col min="4" max="4" width="24" customWidth="1"/>
    <col min="5" max="5" width="44" customWidth="1"/>
    <col min="6" max="6" width="20" customWidth="1"/>
    <col min="7" max="7" width="36" customWidth="1"/>
    <col min="8" max="9" width="9" customWidth="1"/>
    <col min="10" max="10" width="11" customWidth="1"/>
    <col min="11" max="11" width="14" customWidth="1"/>
    <col min="12" max="12" width="18" customWidth="1"/>
    <col min="13" max="13" width="28" customWidth="1"/>
    <col min="14" max="14" width="60" customWidth="1"/>
    <col min="15" max="15" width="16" customWidth="1"/>
  </cols>
  <sheetData>
    <row r="1" spans="1:15" ht="30" customHeight="1">
      <c r="A1" s="3" t="s">
        <v>405</v>
      </c>
      <c r="B1" s="3" t="s">
        <v>406</v>
      </c>
      <c r="C1" s="3" t="s">
        <v>407</v>
      </c>
      <c r="D1" s="3" t="s">
        <v>408</v>
      </c>
      <c r="E1" s="3" t="s">
        <v>49</v>
      </c>
      <c r="F1" s="3" t="s">
        <v>409</v>
      </c>
      <c r="G1" s="3" t="s">
        <v>410</v>
      </c>
      <c r="H1" s="3" t="s">
        <v>411</v>
      </c>
      <c r="I1" s="3" t="s">
        <v>412</v>
      </c>
      <c r="J1" s="3" t="s">
        <v>413</v>
      </c>
      <c r="K1" s="3" t="s">
        <v>414</v>
      </c>
      <c r="L1" s="3" t="s">
        <v>415</v>
      </c>
      <c r="M1" s="3" t="s">
        <v>416</v>
      </c>
      <c r="N1" s="3" t="s">
        <v>417</v>
      </c>
      <c r="O1" s="3" t="s">
        <v>418</v>
      </c>
    </row>
    <row r="2" spans="1:15" ht="24.95">
      <c r="A2" s="4" t="s">
        <v>419</v>
      </c>
      <c r="B2" s="4" t="s">
        <v>420</v>
      </c>
      <c r="C2" s="4" t="s">
        <v>421</v>
      </c>
      <c r="D2" s="4" t="s">
        <v>422</v>
      </c>
      <c r="E2" s="4" t="s">
        <v>423</v>
      </c>
      <c r="F2" s="4" t="s">
        <v>424</v>
      </c>
      <c r="G2" s="4" t="s">
        <v>425</v>
      </c>
      <c r="H2" s="4">
        <v>12</v>
      </c>
      <c r="I2" s="4">
        <v>36</v>
      </c>
      <c r="J2" s="4">
        <v>9</v>
      </c>
      <c r="K2" s="4" t="s">
        <v>426</v>
      </c>
      <c r="L2" s="4" t="s">
        <v>96</v>
      </c>
      <c r="M2" s="4" t="s">
        <v>427</v>
      </c>
      <c r="N2" s="4" t="s">
        <v>428</v>
      </c>
      <c r="O2" s="4" t="s">
        <v>429</v>
      </c>
    </row>
    <row r="3" spans="1:15" ht="37.5">
      <c r="A3" s="4" t="s">
        <v>419</v>
      </c>
      <c r="B3" s="4" t="s">
        <v>420</v>
      </c>
      <c r="C3" s="4" t="s">
        <v>421</v>
      </c>
      <c r="D3" s="4" t="s">
        <v>422</v>
      </c>
      <c r="E3" s="4"/>
      <c r="F3" s="4" t="s">
        <v>424</v>
      </c>
      <c r="G3" s="4" t="s">
        <v>425</v>
      </c>
      <c r="H3" s="4">
        <v>12</v>
      </c>
      <c r="I3" s="4">
        <v>36</v>
      </c>
      <c r="J3" s="4">
        <v>9</v>
      </c>
      <c r="K3" s="4" t="s">
        <v>426</v>
      </c>
      <c r="L3" s="4" t="s">
        <v>430</v>
      </c>
      <c r="M3" s="4" t="s">
        <v>431</v>
      </c>
      <c r="N3" s="4" t="s">
        <v>432</v>
      </c>
      <c r="O3" s="4" t="s">
        <v>429</v>
      </c>
    </row>
    <row r="4" spans="1:15" ht="24.95">
      <c r="A4" s="4" t="s">
        <v>433</v>
      </c>
      <c r="B4" s="4" t="s">
        <v>434</v>
      </c>
      <c r="C4" s="4" t="s">
        <v>435</v>
      </c>
      <c r="D4" s="4" t="s">
        <v>422</v>
      </c>
      <c r="E4" s="4" t="s">
        <v>436</v>
      </c>
      <c r="F4" s="4" t="s">
        <v>424</v>
      </c>
      <c r="G4" s="4" t="s">
        <v>425</v>
      </c>
      <c r="H4" s="4">
        <v>12</v>
      </c>
      <c r="I4" s="4">
        <v>36</v>
      </c>
      <c r="J4" s="4">
        <v>9</v>
      </c>
      <c r="K4" s="4" t="s">
        <v>426</v>
      </c>
      <c r="L4" s="4" t="s">
        <v>96</v>
      </c>
      <c r="M4" s="4" t="s">
        <v>427</v>
      </c>
      <c r="N4" s="4" t="s">
        <v>428</v>
      </c>
      <c r="O4" s="4" t="s">
        <v>429</v>
      </c>
    </row>
    <row r="5" spans="1:15" ht="37.5">
      <c r="A5" s="4" t="s">
        <v>433</v>
      </c>
      <c r="B5" s="4" t="s">
        <v>434</v>
      </c>
      <c r="C5" s="4" t="s">
        <v>435</v>
      </c>
      <c r="D5" s="4" t="s">
        <v>422</v>
      </c>
      <c r="E5" s="4"/>
      <c r="F5" s="4" t="s">
        <v>424</v>
      </c>
      <c r="G5" s="4" t="s">
        <v>425</v>
      </c>
      <c r="H5" s="4">
        <v>12</v>
      </c>
      <c r="I5" s="4">
        <v>36</v>
      </c>
      <c r="J5" s="4">
        <v>9</v>
      </c>
      <c r="K5" s="4" t="s">
        <v>426</v>
      </c>
      <c r="L5" s="4" t="s">
        <v>430</v>
      </c>
      <c r="M5" s="4" t="s">
        <v>431</v>
      </c>
      <c r="N5" s="4" t="s">
        <v>432</v>
      </c>
      <c r="O5" s="4" t="s">
        <v>429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9"/>
  <sheetViews>
    <sheetView zoomScale="90" workbookViewId="0">
      <pane xSplit="4" ySplit="1" topLeftCell="E2" activePane="bottomRight" state="frozen"/>
      <selection pane="bottomRight"/>
      <selection pane="bottomLeft"/>
      <selection pane="topRight"/>
    </sheetView>
  </sheetViews>
  <sheetFormatPr defaultRowHeight="14.45"/>
  <cols>
    <col min="1" max="1" width="11" customWidth="1"/>
    <col min="2" max="2" width="30" customWidth="1"/>
    <col min="3" max="3" width="10" customWidth="1"/>
    <col min="4" max="4" width="34" customWidth="1"/>
    <col min="5" max="5" width="14" customWidth="1"/>
    <col min="6" max="6" width="8" customWidth="1"/>
    <col min="7" max="7" width="9" customWidth="1"/>
    <col min="8" max="9" width="8" customWidth="1"/>
    <col min="10" max="10" width="10" customWidth="1"/>
    <col min="11" max="11" width="32" customWidth="1"/>
    <col min="12" max="12" width="46" customWidth="1"/>
    <col min="13" max="13" width="24" customWidth="1"/>
    <col min="14" max="14" width="40" customWidth="1"/>
    <col min="15" max="15" width="20" customWidth="1"/>
    <col min="16" max="16" width="34" customWidth="1"/>
    <col min="17" max="17" width="46" customWidth="1"/>
    <col min="18" max="18" width="50" customWidth="1"/>
    <col min="19" max="19" width="22" customWidth="1"/>
    <col min="20" max="20" width="30" customWidth="1"/>
    <col min="21" max="22" width="18" customWidth="1"/>
  </cols>
  <sheetData>
    <row r="1" spans="1:22" ht="30" customHeight="1">
      <c r="A1" s="3" t="s">
        <v>405</v>
      </c>
      <c r="B1" s="3" t="s">
        <v>437</v>
      </c>
      <c r="C1" s="3" t="s">
        <v>438</v>
      </c>
      <c r="D1" s="3" t="s">
        <v>439</v>
      </c>
      <c r="E1" s="3" t="s">
        <v>440</v>
      </c>
      <c r="F1" s="3" t="s">
        <v>441</v>
      </c>
      <c r="G1" s="3" t="s">
        <v>442</v>
      </c>
      <c r="H1" s="3" t="s">
        <v>443</v>
      </c>
      <c r="I1" s="3" t="s">
        <v>444</v>
      </c>
      <c r="J1" s="3" t="s">
        <v>445</v>
      </c>
      <c r="K1" s="3" t="s">
        <v>446</v>
      </c>
      <c r="L1" s="3" t="s">
        <v>447</v>
      </c>
      <c r="M1" s="3" t="s">
        <v>448</v>
      </c>
      <c r="N1" s="3" t="s">
        <v>449</v>
      </c>
      <c r="O1" s="3" t="s">
        <v>64</v>
      </c>
      <c r="P1" s="3" t="s">
        <v>450</v>
      </c>
      <c r="Q1" s="3" t="s">
        <v>451</v>
      </c>
      <c r="R1" s="3" t="s">
        <v>452</v>
      </c>
      <c r="S1" s="3" t="s">
        <v>453</v>
      </c>
      <c r="T1" s="3" t="s">
        <v>454</v>
      </c>
      <c r="U1" s="3" t="s">
        <v>455</v>
      </c>
      <c r="V1" s="3" t="s">
        <v>456</v>
      </c>
    </row>
    <row r="2" spans="1:22" ht="37.5">
      <c r="A2" s="4" t="s">
        <v>419</v>
      </c>
      <c r="B2" s="4" t="s">
        <v>420</v>
      </c>
      <c r="C2" s="4">
        <v>1</v>
      </c>
      <c r="D2" s="4" t="s">
        <v>457</v>
      </c>
      <c r="E2" s="4" t="s">
        <v>458</v>
      </c>
      <c r="F2" s="4">
        <v>0</v>
      </c>
      <c r="G2" s="4">
        <v>0</v>
      </c>
      <c r="H2" s="4">
        <v>4</v>
      </c>
      <c r="I2" s="4">
        <v>2</v>
      </c>
      <c r="J2" s="4" t="s">
        <v>91</v>
      </c>
      <c r="K2" s="4" t="s">
        <v>92</v>
      </c>
      <c r="L2" s="4" t="s">
        <v>459</v>
      </c>
      <c r="M2" s="4" t="s">
        <v>460</v>
      </c>
      <c r="N2" s="4" t="s">
        <v>82</v>
      </c>
      <c r="O2" s="4" t="s">
        <v>82</v>
      </c>
      <c r="P2" s="4" t="s">
        <v>461</v>
      </c>
      <c r="Q2" s="4" t="s">
        <v>462</v>
      </c>
      <c r="R2" s="4" t="s">
        <v>82</v>
      </c>
      <c r="S2" s="4" t="s">
        <v>82</v>
      </c>
      <c r="T2" s="4" t="s">
        <v>463</v>
      </c>
      <c r="U2" s="4" t="s">
        <v>464</v>
      </c>
      <c r="V2" s="11">
        <f>'Report Results'!D3</f>
        <v>2750000</v>
      </c>
    </row>
    <row r="3" spans="1:22" ht="37.5">
      <c r="A3" s="4" t="s">
        <v>419</v>
      </c>
      <c r="B3" s="4" t="s">
        <v>420</v>
      </c>
      <c r="C3" s="4">
        <v>2</v>
      </c>
      <c r="D3" s="4" t="s">
        <v>465</v>
      </c>
      <c r="E3" s="4" t="s">
        <v>466</v>
      </c>
      <c r="F3" s="4">
        <v>0</v>
      </c>
      <c r="G3" s="4">
        <v>2</v>
      </c>
      <c r="H3" s="4">
        <v>4</v>
      </c>
      <c r="I3" s="4">
        <v>3</v>
      </c>
      <c r="J3" s="4" t="s">
        <v>101</v>
      </c>
      <c r="K3" s="4" t="s">
        <v>102</v>
      </c>
      <c r="L3" s="4" t="s">
        <v>467</v>
      </c>
      <c r="M3" s="4" t="s">
        <v>460</v>
      </c>
      <c r="N3" s="4" t="s">
        <v>82</v>
      </c>
      <c r="O3" s="4" t="s">
        <v>82</v>
      </c>
      <c r="P3" s="4" t="s">
        <v>468</v>
      </c>
      <c r="Q3" s="4" t="s">
        <v>469</v>
      </c>
      <c r="R3" s="4" t="s">
        <v>82</v>
      </c>
      <c r="S3" s="4" t="s">
        <v>82</v>
      </c>
      <c r="T3" s="4" t="s">
        <v>463</v>
      </c>
      <c r="U3" s="4" t="s">
        <v>464</v>
      </c>
      <c r="V3" s="11">
        <f>'Report Results'!D4</f>
        <v>2750000</v>
      </c>
    </row>
    <row r="4" spans="1:22" ht="37.5">
      <c r="A4" s="4" t="s">
        <v>419</v>
      </c>
      <c r="B4" s="4" t="s">
        <v>420</v>
      </c>
      <c r="C4" s="4">
        <v>3</v>
      </c>
      <c r="D4" s="4" t="s">
        <v>470</v>
      </c>
      <c r="E4" s="4" t="s">
        <v>458</v>
      </c>
      <c r="F4" s="4">
        <v>0</v>
      </c>
      <c r="G4" s="4">
        <v>5</v>
      </c>
      <c r="H4" s="4">
        <v>4</v>
      </c>
      <c r="I4" s="4">
        <v>3</v>
      </c>
      <c r="J4" s="4" t="s">
        <v>69</v>
      </c>
      <c r="K4" s="4" t="s">
        <v>70</v>
      </c>
      <c r="L4" s="4" t="s">
        <v>471</v>
      </c>
      <c r="M4" s="4" t="s">
        <v>460</v>
      </c>
      <c r="N4" s="4" t="s">
        <v>82</v>
      </c>
      <c r="O4" s="4" t="s">
        <v>82</v>
      </c>
      <c r="P4" s="4" t="s">
        <v>472</v>
      </c>
      <c r="Q4" s="4" t="s">
        <v>473</v>
      </c>
      <c r="R4" s="4" t="s">
        <v>82</v>
      </c>
      <c r="S4" s="4" t="s">
        <v>82</v>
      </c>
      <c r="T4" s="4" t="s">
        <v>463</v>
      </c>
      <c r="U4" s="4" t="s">
        <v>464</v>
      </c>
      <c r="V4" s="11">
        <f>'Report Results'!D2</f>
        <v>8900000</v>
      </c>
    </row>
    <row r="5" spans="1:22" ht="37.5">
      <c r="A5" s="4" t="s">
        <v>419</v>
      </c>
      <c r="B5" s="4" t="s">
        <v>420</v>
      </c>
      <c r="C5" s="4">
        <v>4</v>
      </c>
      <c r="D5" s="4" t="s">
        <v>474</v>
      </c>
      <c r="E5" s="4" t="s">
        <v>458</v>
      </c>
      <c r="F5" s="4">
        <v>0</v>
      </c>
      <c r="G5" s="4">
        <v>8</v>
      </c>
      <c r="H5" s="4">
        <v>4</v>
      </c>
      <c r="I5" s="4">
        <v>2</v>
      </c>
      <c r="J5" s="4" t="s">
        <v>120</v>
      </c>
      <c r="K5" s="4" t="s">
        <v>121</v>
      </c>
      <c r="L5" s="4" t="s">
        <v>475</v>
      </c>
      <c r="M5" s="4" t="s">
        <v>460</v>
      </c>
      <c r="N5" s="4" t="s">
        <v>82</v>
      </c>
      <c r="O5" s="4" t="s">
        <v>82</v>
      </c>
      <c r="P5" s="4" t="s">
        <v>476</v>
      </c>
      <c r="Q5" s="4" t="s">
        <v>473</v>
      </c>
      <c r="R5" s="4" t="s">
        <v>82</v>
      </c>
      <c r="S5" s="4" t="s">
        <v>82</v>
      </c>
      <c r="T5" s="4" t="s">
        <v>463</v>
      </c>
      <c r="U5" s="4" t="s">
        <v>464</v>
      </c>
      <c r="V5" s="11">
        <f>'Report Results'!D6</f>
        <v>31421000</v>
      </c>
    </row>
    <row r="6" spans="1:22" ht="24.95">
      <c r="A6" s="4" t="s">
        <v>419</v>
      </c>
      <c r="B6" s="4" t="s">
        <v>420</v>
      </c>
      <c r="C6" s="4">
        <v>5</v>
      </c>
      <c r="D6" s="4" t="s">
        <v>477</v>
      </c>
      <c r="E6" s="4" t="s">
        <v>458</v>
      </c>
      <c r="F6" s="4">
        <v>0</v>
      </c>
      <c r="G6" s="4">
        <v>10</v>
      </c>
      <c r="H6" s="4">
        <v>4</v>
      </c>
      <c r="I6" s="4">
        <v>2</v>
      </c>
      <c r="J6" s="4" t="s">
        <v>156</v>
      </c>
      <c r="K6" s="4" t="s">
        <v>157</v>
      </c>
      <c r="L6" s="4" t="s">
        <v>478</v>
      </c>
      <c r="M6" s="4" t="s">
        <v>402</v>
      </c>
      <c r="N6" s="4" t="s">
        <v>82</v>
      </c>
      <c r="O6" s="4" t="s">
        <v>82</v>
      </c>
      <c r="P6" s="4" t="s">
        <v>479</v>
      </c>
      <c r="Q6" s="4" t="s">
        <v>473</v>
      </c>
      <c r="R6" s="4" t="s">
        <v>82</v>
      </c>
      <c r="S6" s="4" t="s">
        <v>82</v>
      </c>
      <c r="T6" s="4" t="s">
        <v>463</v>
      </c>
      <c r="U6" s="4" t="s">
        <v>464</v>
      </c>
      <c r="V6" s="12">
        <f>'Report Results'!H10</f>
        <v>0.6</v>
      </c>
    </row>
    <row r="7" spans="1:22" ht="37.5">
      <c r="A7" s="4" t="s">
        <v>419</v>
      </c>
      <c r="B7" s="4" t="s">
        <v>420</v>
      </c>
      <c r="C7" s="4">
        <v>6</v>
      </c>
      <c r="D7" s="4" t="s">
        <v>480</v>
      </c>
      <c r="E7" s="4" t="s">
        <v>481</v>
      </c>
      <c r="F7" s="4">
        <v>4</v>
      </c>
      <c r="G7" s="4">
        <v>0</v>
      </c>
      <c r="H7" s="4">
        <v>8</v>
      </c>
      <c r="I7" s="4">
        <v>6</v>
      </c>
      <c r="J7" s="4" t="s">
        <v>108</v>
      </c>
      <c r="K7" s="4" t="s">
        <v>109</v>
      </c>
      <c r="L7" s="4" t="s">
        <v>482</v>
      </c>
      <c r="M7" s="4" t="s">
        <v>460</v>
      </c>
      <c r="N7" s="4" t="s">
        <v>483</v>
      </c>
      <c r="O7" s="4" t="s">
        <v>484</v>
      </c>
      <c r="P7" s="4" t="s">
        <v>485</v>
      </c>
      <c r="Q7" s="4" t="s">
        <v>82</v>
      </c>
      <c r="R7" s="4" t="s">
        <v>82</v>
      </c>
      <c r="S7" s="4" t="s">
        <v>82</v>
      </c>
      <c r="T7" s="4" t="s">
        <v>463</v>
      </c>
      <c r="U7" s="4" t="s">
        <v>464</v>
      </c>
      <c r="V7" s="11">
        <f>'Report Results'!D5</f>
        <v>16170000</v>
      </c>
    </row>
    <row r="8" spans="1:22" ht="37.5">
      <c r="A8" s="4" t="s">
        <v>419</v>
      </c>
      <c r="B8" s="4" t="s">
        <v>420</v>
      </c>
      <c r="C8" s="4">
        <v>7</v>
      </c>
      <c r="D8" s="4" t="s">
        <v>486</v>
      </c>
      <c r="E8" s="4" t="s">
        <v>344</v>
      </c>
      <c r="F8" s="4">
        <v>4</v>
      </c>
      <c r="G8" s="4">
        <v>6</v>
      </c>
      <c r="H8" s="4">
        <v>8</v>
      </c>
      <c r="I8" s="4">
        <v>6</v>
      </c>
      <c r="J8" s="4" t="s">
        <v>120</v>
      </c>
      <c r="K8" s="4" t="s">
        <v>121</v>
      </c>
      <c r="L8" s="4" t="s">
        <v>475</v>
      </c>
      <c r="M8" s="4" t="s">
        <v>460</v>
      </c>
      <c r="N8" s="4" t="s">
        <v>127</v>
      </c>
      <c r="O8" s="4" t="s">
        <v>484</v>
      </c>
      <c r="P8" s="4" t="s">
        <v>487</v>
      </c>
      <c r="Q8" s="4" t="s">
        <v>82</v>
      </c>
      <c r="R8" s="4" t="s">
        <v>82</v>
      </c>
      <c r="S8" s="4" t="s">
        <v>82</v>
      </c>
      <c r="T8" s="4" t="s">
        <v>463</v>
      </c>
      <c r="U8" s="4" t="s">
        <v>464</v>
      </c>
      <c r="V8" s="11">
        <f>'Report Results'!D6</f>
        <v>31421000</v>
      </c>
    </row>
    <row r="9" spans="1:22" ht="37.5">
      <c r="A9" s="4" t="s">
        <v>419</v>
      </c>
      <c r="B9" s="4" t="s">
        <v>420</v>
      </c>
      <c r="C9" s="4">
        <v>8</v>
      </c>
      <c r="D9" s="4" t="s">
        <v>488</v>
      </c>
      <c r="E9" s="4" t="s">
        <v>489</v>
      </c>
      <c r="F9" s="4">
        <v>12</v>
      </c>
      <c r="G9" s="4">
        <v>0</v>
      </c>
      <c r="H9" s="4">
        <v>8</v>
      </c>
      <c r="I9" s="4">
        <v>6</v>
      </c>
      <c r="J9" s="4" t="s">
        <v>133</v>
      </c>
      <c r="K9" s="4" t="s">
        <v>134</v>
      </c>
      <c r="L9" s="4" t="s">
        <v>490</v>
      </c>
      <c r="M9" s="4" t="s">
        <v>460</v>
      </c>
      <c r="N9" s="4" t="s">
        <v>491</v>
      </c>
      <c r="O9" s="4" t="s">
        <v>484</v>
      </c>
      <c r="P9" s="4" t="s">
        <v>485</v>
      </c>
      <c r="Q9" s="4" t="s">
        <v>82</v>
      </c>
      <c r="R9" s="4" t="s">
        <v>82</v>
      </c>
      <c r="S9" s="4" t="s">
        <v>82</v>
      </c>
      <c r="T9" s="4" t="s">
        <v>463</v>
      </c>
      <c r="U9" s="4" t="s">
        <v>464</v>
      </c>
      <c r="V9" s="11">
        <f>'Report Results'!D7</f>
        <v>30271000</v>
      </c>
    </row>
    <row r="10" spans="1:22" ht="50.1">
      <c r="A10" s="4" t="s">
        <v>419</v>
      </c>
      <c r="B10" s="4" t="s">
        <v>420</v>
      </c>
      <c r="C10" s="4">
        <v>9</v>
      </c>
      <c r="D10" s="4" t="s">
        <v>492</v>
      </c>
      <c r="E10" s="4" t="s">
        <v>493</v>
      </c>
      <c r="F10" s="4">
        <v>12</v>
      </c>
      <c r="G10" s="4">
        <v>6</v>
      </c>
      <c r="H10" s="4">
        <v>8</v>
      </c>
      <c r="I10" s="4">
        <v>6</v>
      </c>
      <c r="J10" s="4" t="s">
        <v>185</v>
      </c>
      <c r="K10" s="4" t="s">
        <v>186</v>
      </c>
      <c r="L10" s="4" t="s">
        <v>494</v>
      </c>
      <c r="M10" s="4" t="s">
        <v>495</v>
      </c>
      <c r="N10" s="4" t="s">
        <v>82</v>
      </c>
      <c r="O10" s="4" t="s">
        <v>82</v>
      </c>
      <c r="P10" s="4" t="s">
        <v>82</v>
      </c>
      <c r="Q10" s="4" t="s">
        <v>82</v>
      </c>
      <c r="R10" s="4" t="s">
        <v>496</v>
      </c>
      <c r="S10" s="4" t="s">
        <v>497</v>
      </c>
      <c r="T10" s="4" t="s">
        <v>463</v>
      </c>
      <c r="U10" s="4" t="s">
        <v>464</v>
      </c>
      <c r="V10" s="13" t="str">
        <f>'Report Results'!C14&amp;" rows"</f>
        <v>3 rows</v>
      </c>
    </row>
    <row r="11" spans="1:22" ht="37.5">
      <c r="A11" s="4" t="s">
        <v>433</v>
      </c>
      <c r="B11" s="4" t="s">
        <v>434</v>
      </c>
      <c r="C11" s="4">
        <v>1</v>
      </c>
      <c r="D11" s="4" t="s">
        <v>498</v>
      </c>
      <c r="E11" s="4" t="s">
        <v>499</v>
      </c>
      <c r="F11" s="4">
        <v>0</v>
      </c>
      <c r="G11" s="4">
        <v>0</v>
      </c>
      <c r="H11" s="4">
        <v>8</v>
      </c>
      <c r="I11" s="4">
        <v>4</v>
      </c>
      <c r="J11" s="4" t="s">
        <v>149</v>
      </c>
      <c r="K11" s="4" t="s">
        <v>150</v>
      </c>
      <c r="L11" s="4" t="s">
        <v>471</v>
      </c>
      <c r="M11" s="4" t="s">
        <v>460</v>
      </c>
      <c r="N11" s="4" t="s">
        <v>96</v>
      </c>
      <c r="O11" s="4" t="s">
        <v>500</v>
      </c>
      <c r="P11" s="4" t="s">
        <v>485</v>
      </c>
      <c r="Q11" s="4" t="s">
        <v>82</v>
      </c>
      <c r="R11" s="4" t="s">
        <v>82</v>
      </c>
      <c r="S11" s="4" t="s">
        <v>82</v>
      </c>
      <c r="T11" s="4" t="s">
        <v>463</v>
      </c>
      <c r="U11" s="4" t="s">
        <v>464</v>
      </c>
      <c r="V11" s="11">
        <f>'Report Results'!D9</f>
        <v>8900000</v>
      </c>
    </row>
    <row r="12" spans="1:22" ht="37.5">
      <c r="A12" s="4" t="s">
        <v>433</v>
      </c>
      <c r="B12" s="4" t="s">
        <v>434</v>
      </c>
      <c r="C12" s="4">
        <v>2</v>
      </c>
      <c r="D12" s="4" t="s">
        <v>144</v>
      </c>
      <c r="E12" s="4" t="s">
        <v>501</v>
      </c>
      <c r="F12" s="4">
        <v>0</v>
      </c>
      <c r="G12" s="4">
        <v>4</v>
      </c>
      <c r="H12" s="4">
        <v>8</v>
      </c>
      <c r="I12" s="4">
        <v>4</v>
      </c>
      <c r="J12" s="4" t="s">
        <v>143</v>
      </c>
      <c r="K12" s="4" t="s">
        <v>144</v>
      </c>
      <c r="L12" s="4" t="s">
        <v>475</v>
      </c>
      <c r="M12" s="4" t="s">
        <v>460</v>
      </c>
      <c r="N12" s="4" t="s">
        <v>502</v>
      </c>
      <c r="O12" s="4" t="s">
        <v>484</v>
      </c>
      <c r="P12" s="4" t="s">
        <v>485</v>
      </c>
      <c r="Q12" s="4" t="s">
        <v>82</v>
      </c>
      <c r="R12" s="4" t="s">
        <v>82</v>
      </c>
      <c r="S12" s="4" t="s">
        <v>82</v>
      </c>
      <c r="T12" s="4" t="s">
        <v>463</v>
      </c>
      <c r="U12" s="4" t="s">
        <v>464</v>
      </c>
      <c r="V12" s="11">
        <f>'Report Results'!D8</f>
        <v>31421000</v>
      </c>
    </row>
    <row r="13" spans="1:22" ht="37.5">
      <c r="A13" s="4" t="s">
        <v>433</v>
      </c>
      <c r="B13" s="4" t="s">
        <v>434</v>
      </c>
      <c r="C13" s="4">
        <v>3</v>
      </c>
      <c r="D13" s="4" t="s">
        <v>503</v>
      </c>
      <c r="E13" s="4" t="s">
        <v>493</v>
      </c>
      <c r="F13" s="4">
        <v>0</v>
      </c>
      <c r="G13" s="4">
        <v>8</v>
      </c>
      <c r="H13" s="4">
        <v>8</v>
      </c>
      <c r="I13" s="4">
        <v>4</v>
      </c>
      <c r="J13" s="4" t="s">
        <v>156</v>
      </c>
      <c r="K13" s="4" t="s">
        <v>157</v>
      </c>
      <c r="L13" s="4" t="s">
        <v>478</v>
      </c>
      <c r="M13" s="4" t="s">
        <v>495</v>
      </c>
      <c r="N13" s="4" t="s">
        <v>82</v>
      </c>
      <c r="O13" s="4" t="s">
        <v>82</v>
      </c>
      <c r="P13" s="4" t="s">
        <v>82</v>
      </c>
      <c r="Q13" s="4" t="s">
        <v>82</v>
      </c>
      <c r="R13" s="4" t="s">
        <v>504</v>
      </c>
      <c r="S13" s="4" t="s">
        <v>505</v>
      </c>
      <c r="T13" s="4" t="s">
        <v>463</v>
      </c>
      <c r="U13" s="4" t="s">
        <v>464</v>
      </c>
      <c r="V13" s="13" t="str">
        <f>'Report Results'!C10&amp;" rows"</f>
        <v>15 rows</v>
      </c>
    </row>
    <row r="14" spans="1:22" ht="37.5">
      <c r="A14" s="4" t="s">
        <v>433</v>
      </c>
      <c r="B14" s="4" t="s">
        <v>434</v>
      </c>
      <c r="C14" s="4">
        <v>4</v>
      </c>
      <c r="D14" s="4" t="s">
        <v>506</v>
      </c>
      <c r="E14" s="4" t="s">
        <v>359</v>
      </c>
      <c r="F14" s="4">
        <v>8</v>
      </c>
      <c r="G14" s="4">
        <v>0</v>
      </c>
      <c r="H14" s="4">
        <v>8</v>
      </c>
      <c r="I14" s="4">
        <v>4</v>
      </c>
      <c r="J14" s="4" t="s">
        <v>172</v>
      </c>
      <c r="K14" s="4" t="s">
        <v>173</v>
      </c>
      <c r="L14" s="4" t="s">
        <v>471</v>
      </c>
      <c r="M14" s="4" t="s">
        <v>460</v>
      </c>
      <c r="N14" s="4" t="s">
        <v>175</v>
      </c>
      <c r="O14" s="4" t="s">
        <v>484</v>
      </c>
      <c r="P14" s="4" t="s">
        <v>507</v>
      </c>
      <c r="Q14" s="4" t="s">
        <v>82</v>
      </c>
      <c r="R14" s="4" t="s">
        <v>82</v>
      </c>
      <c r="S14" s="4" t="s">
        <v>82</v>
      </c>
      <c r="T14" s="4" t="s">
        <v>463</v>
      </c>
      <c r="U14" s="4" t="s">
        <v>464</v>
      </c>
      <c r="V14" s="11">
        <f>'Report Results'!D12</f>
        <v>8900000</v>
      </c>
    </row>
    <row r="15" spans="1:22" ht="37.5">
      <c r="A15" s="4" t="s">
        <v>433</v>
      </c>
      <c r="B15" s="4" t="s">
        <v>434</v>
      </c>
      <c r="C15" s="4">
        <v>5</v>
      </c>
      <c r="D15" s="4" t="s">
        <v>508</v>
      </c>
      <c r="E15" s="4" t="s">
        <v>359</v>
      </c>
      <c r="F15" s="4">
        <v>8</v>
      </c>
      <c r="G15" s="4">
        <v>4</v>
      </c>
      <c r="H15" s="4">
        <v>8</v>
      </c>
      <c r="I15" s="4">
        <v>4</v>
      </c>
      <c r="J15" s="4" t="s">
        <v>179</v>
      </c>
      <c r="K15" s="4" t="s">
        <v>180</v>
      </c>
      <c r="L15" s="4" t="s">
        <v>509</v>
      </c>
      <c r="M15" s="4" t="s">
        <v>460</v>
      </c>
      <c r="N15" s="4" t="s">
        <v>175</v>
      </c>
      <c r="O15" s="4" t="s">
        <v>484</v>
      </c>
      <c r="P15" s="4" t="s">
        <v>507</v>
      </c>
      <c r="Q15" s="4" t="s">
        <v>82</v>
      </c>
      <c r="R15" s="4" t="s">
        <v>82</v>
      </c>
      <c r="S15" s="4" t="s">
        <v>82</v>
      </c>
      <c r="T15" s="4" t="s">
        <v>463</v>
      </c>
      <c r="U15" s="4" t="s">
        <v>464</v>
      </c>
      <c r="V15" s="11">
        <f>'Report Results'!D13</f>
        <v>5820000</v>
      </c>
    </row>
    <row r="16" spans="1:22" ht="50.1">
      <c r="A16" s="4" t="s">
        <v>433</v>
      </c>
      <c r="B16" s="4" t="s">
        <v>434</v>
      </c>
      <c r="C16" s="4">
        <v>6</v>
      </c>
      <c r="D16" s="4" t="s">
        <v>510</v>
      </c>
      <c r="E16" s="4" t="s">
        <v>359</v>
      </c>
      <c r="F16" s="4">
        <v>8</v>
      </c>
      <c r="G16" s="4">
        <v>8</v>
      </c>
      <c r="H16" s="4">
        <v>8</v>
      </c>
      <c r="I16" s="4">
        <v>4</v>
      </c>
      <c r="J16" s="4" t="s">
        <v>213</v>
      </c>
      <c r="K16" s="4" t="s">
        <v>214</v>
      </c>
      <c r="L16" s="4" t="s">
        <v>511</v>
      </c>
      <c r="M16" s="4" t="s">
        <v>460</v>
      </c>
      <c r="N16" s="4" t="s">
        <v>217</v>
      </c>
      <c r="O16" s="4" t="s">
        <v>484</v>
      </c>
      <c r="P16" s="4" t="s">
        <v>507</v>
      </c>
      <c r="Q16" s="4" t="s">
        <v>82</v>
      </c>
      <c r="R16" s="4" t="s">
        <v>82</v>
      </c>
      <c r="S16" s="4" t="s">
        <v>82</v>
      </c>
      <c r="T16" s="4" t="s">
        <v>463</v>
      </c>
      <c r="U16" s="4" t="s">
        <v>464</v>
      </c>
      <c r="V16" s="11">
        <f>'Report Results'!D17</f>
        <v>29821000</v>
      </c>
    </row>
    <row r="17" spans="1:22" ht="37.5">
      <c r="A17" s="4" t="s">
        <v>433</v>
      </c>
      <c r="B17" s="4" t="s">
        <v>434</v>
      </c>
      <c r="C17" s="4">
        <v>7</v>
      </c>
      <c r="D17" s="4" t="s">
        <v>512</v>
      </c>
      <c r="E17" s="4" t="s">
        <v>499</v>
      </c>
      <c r="F17" s="4">
        <v>16</v>
      </c>
      <c r="G17" s="4">
        <v>0</v>
      </c>
      <c r="H17" s="4">
        <v>8</v>
      </c>
      <c r="I17" s="4">
        <v>4</v>
      </c>
      <c r="J17" s="4" t="s">
        <v>222</v>
      </c>
      <c r="K17" s="4" t="s">
        <v>223</v>
      </c>
      <c r="L17" s="4" t="s">
        <v>471</v>
      </c>
      <c r="M17" s="4" t="s">
        <v>460</v>
      </c>
      <c r="N17" s="4" t="s">
        <v>372</v>
      </c>
      <c r="O17" s="4" t="s">
        <v>500</v>
      </c>
      <c r="P17" s="4" t="s">
        <v>485</v>
      </c>
      <c r="Q17" s="4" t="s">
        <v>82</v>
      </c>
      <c r="R17" s="4" t="s">
        <v>82</v>
      </c>
      <c r="S17" s="4" t="s">
        <v>82</v>
      </c>
      <c r="T17" s="4" t="s">
        <v>463</v>
      </c>
      <c r="U17" s="4" t="s">
        <v>464</v>
      </c>
      <c r="V17" s="11">
        <f>'Report Results'!D18</f>
        <v>8900000</v>
      </c>
    </row>
    <row r="18" spans="1:22" ht="37.5">
      <c r="A18" s="4" t="s">
        <v>433</v>
      </c>
      <c r="B18" s="4" t="s">
        <v>434</v>
      </c>
      <c r="C18" s="4">
        <v>8</v>
      </c>
      <c r="D18" s="4" t="s">
        <v>513</v>
      </c>
      <c r="E18" s="4" t="s">
        <v>458</v>
      </c>
      <c r="F18" s="4">
        <v>16</v>
      </c>
      <c r="G18" s="4">
        <v>4</v>
      </c>
      <c r="H18" s="4">
        <v>8</v>
      </c>
      <c r="I18" s="4">
        <v>4</v>
      </c>
      <c r="J18" s="4" t="s">
        <v>206</v>
      </c>
      <c r="K18" s="4" t="s">
        <v>207</v>
      </c>
      <c r="L18" s="4" t="s">
        <v>514</v>
      </c>
      <c r="M18" s="4" t="s">
        <v>460</v>
      </c>
      <c r="N18" s="4" t="s">
        <v>82</v>
      </c>
      <c r="O18" s="4" t="s">
        <v>82</v>
      </c>
      <c r="P18" s="4" t="s">
        <v>515</v>
      </c>
      <c r="Q18" s="4" t="s">
        <v>473</v>
      </c>
      <c r="R18" s="4" t="s">
        <v>82</v>
      </c>
      <c r="S18" s="4" t="s">
        <v>82</v>
      </c>
      <c r="T18" s="4" t="s">
        <v>463</v>
      </c>
      <c r="U18" s="4" t="s">
        <v>464</v>
      </c>
      <c r="V18" s="11">
        <f>'Report Results'!D16</f>
        <v>11500000</v>
      </c>
    </row>
    <row r="19" spans="1:22" ht="62.45">
      <c r="A19" s="4" t="s">
        <v>433</v>
      </c>
      <c r="B19" s="4" t="s">
        <v>434</v>
      </c>
      <c r="C19" s="4">
        <v>9</v>
      </c>
      <c r="D19" s="4" t="s">
        <v>516</v>
      </c>
      <c r="E19" s="4" t="s">
        <v>493</v>
      </c>
      <c r="F19" s="4">
        <v>16</v>
      </c>
      <c r="G19" s="4">
        <v>8</v>
      </c>
      <c r="H19" s="4">
        <v>8</v>
      </c>
      <c r="I19" s="4">
        <v>4</v>
      </c>
      <c r="J19" s="4" t="s">
        <v>197</v>
      </c>
      <c r="K19" s="4" t="s">
        <v>198</v>
      </c>
      <c r="L19" s="4" t="s">
        <v>517</v>
      </c>
      <c r="M19" s="4" t="s">
        <v>495</v>
      </c>
      <c r="N19" s="4" t="s">
        <v>82</v>
      </c>
      <c r="O19" s="4" t="s">
        <v>82</v>
      </c>
      <c r="P19" s="4" t="s">
        <v>82</v>
      </c>
      <c r="Q19" s="4" t="s">
        <v>82</v>
      </c>
      <c r="R19" s="4" t="s">
        <v>518</v>
      </c>
      <c r="S19" s="4" t="s">
        <v>519</v>
      </c>
      <c r="T19" s="4" t="s">
        <v>463</v>
      </c>
      <c r="U19" s="4" t="s">
        <v>464</v>
      </c>
      <c r="V19" s="13" t="str">
        <f>'Report Results'!C15&amp;" rows"</f>
        <v>2 rows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zoomScale="90" workbookViewId="0">
      <pane xSplit="3" ySplit="1" topLeftCell="D2" activePane="bottomRight" state="frozen"/>
      <selection pane="bottomRight"/>
      <selection pane="bottomLeft"/>
      <selection pane="topRight"/>
    </sheetView>
  </sheetViews>
  <sheetFormatPr defaultRowHeight="14.45"/>
  <cols>
    <col min="1" max="1" width="30" customWidth="1"/>
    <col min="2" max="2" width="22" customWidth="1"/>
    <col min="3" max="3" width="34" customWidth="1"/>
    <col min="4" max="4" width="14" customWidth="1"/>
    <col min="5" max="5" width="9" customWidth="1"/>
    <col min="6" max="6" width="36" customWidth="1"/>
    <col min="7" max="7" width="52" customWidth="1"/>
    <col min="8" max="8" width="46" customWidth="1"/>
  </cols>
  <sheetData>
    <row r="1" spans="1:8" ht="30" customHeight="1">
      <c r="A1" s="3" t="s">
        <v>520</v>
      </c>
      <c r="B1" s="3" t="s">
        <v>521</v>
      </c>
      <c r="C1" s="3" t="s">
        <v>522</v>
      </c>
      <c r="D1" s="3" t="s">
        <v>523</v>
      </c>
      <c r="E1" s="3" t="s">
        <v>524</v>
      </c>
      <c r="F1" s="3" t="s">
        <v>525</v>
      </c>
      <c r="G1" s="3" t="s">
        <v>526</v>
      </c>
      <c r="H1" s="3" t="s">
        <v>527</v>
      </c>
    </row>
    <row r="2" spans="1:8" ht="24.95">
      <c r="A2" s="4" t="s">
        <v>528</v>
      </c>
      <c r="B2" s="4" t="s">
        <v>529</v>
      </c>
      <c r="C2" s="4" t="s">
        <v>530</v>
      </c>
      <c r="D2" s="4" t="s">
        <v>531</v>
      </c>
      <c r="E2" s="4">
        <v>1</v>
      </c>
      <c r="F2" s="4" t="s">
        <v>532</v>
      </c>
      <c r="G2" s="4" t="s">
        <v>533</v>
      </c>
      <c r="H2" s="4" t="s">
        <v>534</v>
      </c>
    </row>
    <row r="3" spans="1:8" ht="24.95">
      <c r="A3" s="4" t="s">
        <v>528</v>
      </c>
      <c r="B3" s="4" t="s">
        <v>529</v>
      </c>
      <c r="C3" s="4" t="s">
        <v>530</v>
      </c>
      <c r="D3" s="4" t="s">
        <v>531</v>
      </c>
      <c r="E3" s="4">
        <v>2</v>
      </c>
      <c r="F3" s="4" t="s">
        <v>532</v>
      </c>
      <c r="G3" s="4" t="s">
        <v>535</v>
      </c>
      <c r="H3" s="4" t="s">
        <v>536</v>
      </c>
    </row>
    <row r="4" spans="1:8" ht="24.95">
      <c r="A4" s="4" t="s">
        <v>528</v>
      </c>
      <c r="B4" s="4" t="s">
        <v>529</v>
      </c>
      <c r="C4" s="4" t="s">
        <v>530</v>
      </c>
      <c r="D4" s="4" t="s">
        <v>537</v>
      </c>
      <c r="E4" s="4">
        <v>1</v>
      </c>
      <c r="F4" s="4" t="s">
        <v>538</v>
      </c>
      <c r="G4" s="4" t="s">
        <v>539</v>
      </c>
      <c r="H4" s="4" t="s">
        <v>540</v>
      </c>
    </row>
    <row r="5" spans="1:8" ht="24.95">
      <c r="A5" s="4" t="s">
        <v>528</v>
      </c>
      <c r="B5" s="4" t="s">
        <v>529</v>
      </c>
      <c r="C5" s="4" t="s">
        <v>530</v>
      </c>
      <c r="D5" s="4" t="s">
        <v>541</v>
      </c>
      <c r="E5" s="4">
        <v>1</v>
      </c>
      <c r="F5" s="4" t="s">
        <v>538</v>
      </c>
      <c r="G5" s="4" t="s">
        <v>542</v>
      </c>
      <c r="H5" s="4" t="s">
        <v>543</v>
      </c>
    </row>
    <row r="6" spans="1:8" ht="24.95">
      <c r="A6" s="4" t="s">
        <v>528</v>
      </c>
      <c r="B6" s="4" t="s">
        <v>529</v>
      </c>
      <c r="C6" s="4" t="s">
        <v>530</v>
      </c>
      <c r="D6" s="4" t="s">
        <v>544</v>
      </c>
      <c r="E6" s="4">
        <v>1</v>
      </c>
      <c r="F6" s="4" t="s">
        <v>538</v>
      </c>
      <c r="G6" s="4" t="s">
        <v>545</v>
      </c>
      <c r="H6" s="4" t="s">
        <v>546</v>
      </c>
    </row>
    <row r="7" spans="1:8" ht="24.95">
      <c r="A7" s="4" t="s">
        <v>528</v>
      </c>
      <c r="B7" s="4" t="s">
        <v>529</v>
      </c>
      <c r="C7" s="4" t="s">
        <v>530</v>
      </c>
      <c r="D7" s="4" t="s">
        <v>544</v>
      </c>
      <c r="E7" s="4">
        <v>2</v>
      </c>
      <c r="F7" s="4" t="s">
        <v>538</v>
      </c>
      <c r="G7" s="4" t="s">
        <v>547</v>
      </c>
      <c r="H7" s="4" t="s">
        <v>548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X54"/>
  <sheetViews>
    <sheetView zoomScale="90" workbookViewId="0">
      <pane xSplit="2" ySplit="1" topLeftCell="C2" activePane="bottomRight" state="frozen"/>
      <selection pane="bottomRight"/>
      <selection pane="bottomLeft"/>
      <selection pane="topRight"/>
    </sheetView>
  </sheetViews>
  <sheetFormatPr defaultRowHeight="14.45"/>
  <cols>
    <col min="1" max="1" width="20" customWidth="1"/>
    <col min="2" max="2" width="44" customWidth="1"/>
    <col min="3" max="3" width="24" customWidth="1"/>
    <col min="4" max="5" width="18" customWidth="1"/>
    <col min="6" max="6" width="12" customWidth="1"/>
    <col min="7" max="7" width="22" customWidth="1"/>
    <col min="8" max="8" width="18" customWidth="1"/>
    <col min="9" max="9" width="7" customWidth="1"/>
    <col min="10" max="10" width="6" customWidth="1"/>
    <col min="11" max="11" width="10" customWidth="1"/>
    <col min="12" max="13" width="13" customWidth="1"/>
    <col min="14" max="14" width="12" customWidth="1"/>
    <col min="15" max="16" width="8" customWidth="1"/>
    <col min="17" max="17" width="14" customWidth="1"/>
    <col min="18" max="18" width="32" customWidth="1"/>
    <col min="19" max="19" width="18" customWidth="1"/>
    <col min="20" max="20" width="16" customWidth="1"/>
    <col min="21" max="21" width="18" customWidth="1"/>
    <col min="22" max="22" width="13" customWidth="1"/>
    <col min="23" max="23" width="28" customWidth="1"/>
    <col min="24" max="24" width="30" customWidth="1"/>
    <col min="25" max="25" width="12" customWidth="1"/>
    <col min="26" max="26" width="16" customWidth="1"/>
    <col min="27" max="28" width="12" customWidth="1"/>
    <col min="29" max="29" width="9" customWidth="1"/>
    <col min="30" max="30" width="22" customWidth="1"/>
    <col min="31" max="50" width="7" customWidth="1"/>
  </cols>
  <sheetData>
    <row r="1" spans="1:50" ht="30" customHeight="1">
      <c r="A1" s="3" t="s">
        <v>549</v>
      </c>
      <c r="B1" s="3" t="s">
        <v>323</v>
      </c>
      <c r="C1" s="3" t="s">
        <v>325</v>
      </c>
      <c r="D1" s="3" t="s">
        <v>233</v>
      </c>
      <c r="E1" s="3" t="s">
        <v>234</v>
      </c>
      <c r="F1" s="3" t="s">
        <v>378</v>
      </c>
      <c r="G1" s="3" t="s">
        <v>96</v>
      </c>
      <c r="H1" s="3" t="s">
        <v>127</v>
      </c>
      <c r="I1" s="3" t="s">
        <v>351</v>
      </c>
      <c r="J1" s="3" t="s">
        <v>218</v>
      </c>
      <c r="K1" s="3" t="s">
        <v>338</v>
      </c>
      <c r="L1" s="3" t="s">
        <v>116</v>
      </c>
      <c r="M1" s="3" t="s">
        <v>340</v>
      </c>
      <c r="N1" s="3" t="s">
        <v>76</v>
      </c>
      <c r="O1" s="3" t="s">
        <v>114</v>
      </c>
      <c r="P1" s="3" t="s">
        <v>334</v>
      </c>
      <c r="Q1" s="3" t="s">
        <v>139</v>
      </c>
      <c r="R1" s="3" t="s">
        <v>217</v>
      </c>
      <c r="S1" s="3" t="s">
        <v>372</v>
      </c>
      <c r="T1" s="3" t="s">
        <v>374</v>
      </c>
      <c r="U1" s="3" t="s">
        <v>550</v>
      </c>
      <c r="V1" s="3" t="s">
        <v>241</v>
      </c>
      <c r="W1" s="3" t="s">
        <v>175</v>
      </c>
      <c r="X1" s="3" t="s">
        <v>357</v>
      </c>
      <c r="Y1" s="3" t="s">
        <v>369</v>
      </c>
      <c r="Z1" s="3" t="s">
        <v>342</v>
      </c>
      <c r="AA1" s="3" t="s">
        <v>298</v>
      </c>
      <c r="AB1" s="3" t="s">
        <v>384</v>
      </c>
      <c r="AC1" s="3" t="s">
        <v>551</v>
      </c>
      <c r="AD1" s="3" t="s">
        <v>552</v>
      </c>
      <c r="AE1" s="3" t="s">
        <v>553</v>
      </c>
      <c r="AF1" s="3" t="s">
        <v>554</v>
      </c>
      <c r="AG1" s="3" t="s">
        <v>555</v>
      </c>
      <c r="AH1" s="3" t="s">
        <v>556</v>
      </c>
      <c r="AI1" s="3" t="s">
        <v>557</v>
      </c>
      <c r="AJ1" s="3" t="s">
        <v>558</v>
      </c>
      <c r="AK1" s="3" t="s">
        <v>559</v>
      </c>
      <c r="AL1" s="3" t="s">
        <v>560</v>
      </c>
      <c r="AM1" s="3" t="s">
        <v>561</v>
      </c>
      <c r="AN1" s="3" t="s">
        <v>562</v>
      </c>
      <c r="AO1" s="3" t="s">
        <v>563</v>
      </c>
      <c r="AP1" s="3" t="s">
        <v>564</v>
      </c>
      <c r="AQ1" s="3" t="s">
        <v>565</v>
      </c>
      <c r="AR1" s="3" t="s">
        <v>566</v>
      </c>
      <c r="AS1" s="3" t="s">
        <v>567</v>
      </c>
      <c r="AT1" s="3" t="s">
        <v>568</v>
      </c>
      <c r="AU1" s="3" t="s">
        <v>569</v>
      </c>
      <c r="AV1" s="3" t="s">
        <v>570</v>
      </c>
      <c r="AW1" s="3" t="s">
        <v>571</v>
      </c>
      <c r="AX1" s="3" t="s">
        <v>572</v>
      </c>
    </row>
    <row r="2" spans="1:50">
      <c r="A2" s="4" t="s">
        <v>573</v>
      </c>
      <c r="B2" s="4" t="s">
        <v>574</v>
      </c>
      <c r="C2" s="4" t="s">
        <v>575</v>
      </c>
      <c r="D2" s="4" t="s">
        <v>576</v>
      </c>
      <c r="E2" s="4" t="s">
        <v>577</v>
      </c>
      <c r="F2" s="4" t="s">
        <v>578</v>
      </c>
      <c r="G2" s="4" t="s">
        <v>579</v>
      </c>
      <c r="H2" s="4" t="s">
        <v>276</v>
      </c>
      <c r="I2" s="4">
        <v>1</v>
      </c>
      <c r="J2" s="4">
        <v>1</v>
      </c>
      <c r="K2" s="14">
        <v>1</v>
      </c>
      <c r="L2" s="15">
        <v>900000</v>
      </c>
      <c r="M2" s="15">
        <f t="shared" ref="M2:M33" si="0">L2*K2</f>
        <v>900000</v>
      </c>
      <c r="N2" s="16">
        <v>45711</v>
      </c>
      <c r="O2" s="4" t="s">
        <v>580</v>
      </c>
      <c r="P2" s="4" t="s">
        <v>581</v>
      </c>
      <c r="Q2" s="4" t="s">
        <v>351</v>
      </c>
      <c r="R2" s="4" t="s">
        <v>582</v>
      </c>
      <c r="S2" s="4" t="s">
        <v>583</v>
      </c>
      <c r="T2" s="4"/>
      <c r="U2" s="4" t="s">
        <v>584</v>
      </c>
      <c r="V2" s="16">
        <v>45680</v>
      </c>
      <c r="W2" s="4" t="s">
        <v>585</v>
      </c>
      <c r="X2" s="4" t="s">
        <v>586</v>
      </c>
      <c r="Y2" s="16"/>
      <c r="Z2" s="4"/>
      <c r="AA2" s="16"/>
      <c r="AB2" s="16">
        <v>45650</v>
      </c>
      <c r="AC2" s="17">
        <f>IF(I2=1,N2-AB2,Overview!$B$5-AB2)</f>
        <v>61</v>
      </c>
      <c r="AD2" s="4" t="s">
        <v>587</v>
      </c>
      <c r="AE2" s="8">
        <v>0</v>
      </c>
      <c r="AF2" s="8">
        <v>0</v>
      </c>
      <c r="AG2" s="8">
        <v>0</v>
      </c>
      <c r="AH2" s="7">
        <v>1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</row>
    <row r="3" spans="1:50" ht="24.95">
      <c r="A3" s="4" t="s">
        <v>588</v>
      </c>
      <c r="B3" s="4" t="s">
        <v>589</v>
      </c>
      <c r="C3" s="4" t="s">
        <v>590</v>
      </c>
      <c r="D3" s="4" t="s">
        <v>591</v>
      </c>
      <c r="E3" s="4" t="s">
        <v>577</v>
      </c>
      <c r="F3" s="4" t="s">
        <v>578</v>
      </c>
      <c r="G3" s="4" t="s">
        <v>579</v>
      </c>
      <c r="H3" s="4" t="s">
        <v>289</v>
      </c>
      <c r="I3" s="4">
        <v>1</v>
      </c>
      <c r="J3" s="4">
        <v>0</v>
      </c>
      <c r="K3" s="14">
        <v>0</v>
      </c>
      <c r="L3" s="15">
        <v>2200000</v>
      </c>
      <c r="M3" s="15">
        <f t="shared" si="0"/>
        <v>0</v>
      </c>
      <c r="N3" s="16">
        <v>45723</v>
      </c>
      <c r="O3" s="4" t="s">
        <v>580</v>
      </c>
      <c r="P3" s="4" t="s">
        <v>581</v>
      </c>
      <c r="Q3" s="4" t="s">
        <v>592</v>
      </c>
      <c r="R3" s="4" t="s">
        <v>593</v>
      </c>
      <c r="S3" s="4" t="s">
        <v>594</v>
      </c>
      <c r="T3" s="4"/>
      <c r="U3" s="4" t="s">
        <v>595</v>
      </c>
      <c r="V3" s="16">
        <v>45664</v>
      </c>
      <c r="W3" s="4" t="s">
        <v>596</v>
      </c>
      <c r="X3" s="4" t="s">
        <v>597</v>
      </c>
      <c r="Y3" s="16"/>
      <c r="Z3" s="4"/>
      <c r="AA3" s="16"/>
      <c r="AB3" s="16">
        <v>45599</v>
      </c>
      <c r="AC3" s="17">
        <f>IF(I3=1,N3-AB3,Overview!$B$5-AB3)</f>
        <v>124</v>
      </c>
      <c r="AD3" s="4" t="s">
        <v>587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</row>
    <row r="4" spans="1:50" ht="24.95">
      <c r="A4" s="4" t="s">
        <v>598</v>
      </c>
      <c r="B4" s="4" t="s">
        <v>599</v>
      </c>
      <c r="C4" s="4" t="s">
        <v>600</v>
      </c>
      <c r="D4" s="4" t="s">
        <v>601</v>
      </c>
      <c r="E4" s="4" t="s">
        <v>577</v>
      </c>
      <c r="F4" s="4" t="s">
        <v>602</v>
      </c>
      <c r="G4" s="4" t="s">
        <v>603</v>
      </c>
      <c r="H4" s="4" t="s">
        <v>289</v>
      </c>
      <c r="I4" s="4">
        <v>1</v>
      </c>
      <c r="J4" s="4">
        <v>0</v>
      </c>
      <c r="K4" s="14">
        <v>0</v>
      </c>
      <c r="L4" s="15">
        <v>450000</v>
      </c>
      <c r="M4" s="15">
        <f t="shared" si="0"/>
        <v>0</v>
      </c>
      <c r="N4" s="16">
        <v>45730</v>
      </c>
      <c r="O4" s="4" t="s">
        <v>580</v>
      </c>
      <c r="P4" s="4" t="s">
        <v>581</v>
      </c>
      <c r="Q4" s="4" t="s">
        <v>592</v>
      </c>
      <c r="R4" s="4" t="s">
        <v>593</v>
      </c>
      <c r="S4" s="4" t="s">
        <v>604</v>
      </c>
      <c r="T4" s="4"/>
      <c r="U4" s="4" t="s">
        <v>595</v>
      </c>
      <c r="V4" s="16">
        <v>45695</v>
      </c>
      <c r="W4" s="4" t="s">
        <v>596</v>
      </c>
      <c r="X4" s="4" t="s">
        <v>597</v>
      </c>
      <c r="Y4" s="16"/>
      <c r="Z4" s="4"/>
      <c r="AA4" s="16"/>
      <c r="AB4" s="16">
        <v>45636</v>
      </c>
      <c r="AC4" s="17">
        <f>IF(I4=1,N4-AB4,Overview!$B$5-AB4)</f>
        <v>94</v>
      </c>
      <c r="AD4" s="4" t="s">
        <v>587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</row>
    <row r="5" spans="1:50" ht="24.95">
      <c r="A5" s="4" t="s">
        <v>605</v>
      </c>
      <c r="B5" s="4" t="s">
        <v>606</v>
      </c>
      <c r="C5" s="4" t="s">
        <v>607</v>
      </c>
      <c r="D5" s="4" t="s">
        <v>608</v>
      </c>
      <c r="E5" s="4" t="s">
        <v>577</v>
      </c>
      <c r="F5" s="4" t="s">
        <v>609</v>
      </c>
      <c r="G5" s="4" t="s">
        <v>603</v>
      </c>
      <c r="H5" s="4" t="s">
        <v>276</v>
      </c>
      <c r="I5" s="4">
        <v>1</v>
      </c>
      <c r="J5" s="4">
        <v>1</v>
      </c>
      <c r="K5" s="14">
        <v>1</v>
      </c>
      <c r="L5" s="15">
        <v>150000</v>
      </c>
      <c r="M5" s="15">
        <f t="shared" si="0"/>
        <v>150000</v>
      </c>
      <c r="N5" s="16">
        <v>45750</v>
      </c>
      <c r="O5" s="4" t="s">
        <v>610</v>
      </c>
      <c r="P5" s="4" t="s">
        <v>581</v>
      </c>
      <c r="Q5" s="4" t="s">
        <v>351</v>
      </c>
      <c r="R5" s="4" t="s">
        <v>582</v>
      </c>
      <c r="S5" s="4" t="s">
        <v>594</v>
      </c>
      <c r="T5" s="4"/>
      <c r="U5" s="4" t="s">
        <v>584</v>
      </c>
      <c r="V5" s="16">
        <v>45710</v>
      </c>
      <c r="W5" s="4" t="s">
        <v>611</v>
      </c>
      <c r="X5" s="4" t="s">
        <v>612</v>
      </c>
      <c r="Y5" s="16"/>
      <c r="Z5" s="4"/>
      <c r="AA5" s="16"/>
      <c r="AB5" s="16">
        <v>45673</v>
      </c>
      <c r="AC5" s="17">
        <f>IF(I5=1,N5-AB5,Overview!$B$5-AB5)</f>
        <v>77</v>
      </c>
      <c r="AD5" s="4" t="s">
        <v>587</v>
      </c>
      <c r="AE5" s="8">
        <v>0</v>
      </c>
      <c r="AF5" s="8">
        <v>0</v>
      </c>
      <c r="AG5" s="8">
        <v>0</v>
      </c>
      <c r="AH5" s="7">
        <v>1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</row>
    <row r="6" spans="1:50" ht="24.95">
      <c r="A6" s="4" t="s">
        <v>613</v>
      </c>
      <c r="B6" s="4" t="s">
        <v>614</v>
      </c>
      <c r="C6" s="4" t="s">
        <v>615</v>
      </c>
      <c r="D6" s="4" t="s">
        <v>616</v>
      </c>
      <c r="E6" s="4" t="s">
        <v>617</v>
      </c>
      <c r="F6" s="4" t="s">
        <v>609</v>
      </c>
      <c r="G6" s="4" t="s">
        <v>603</v>
      </c>
      <c r="H6" s="4" t="s">
        <v>276</v>
      </c>
      <c r="I6" s="4">
        <v>1</v>
      </c>
      <c r="J6" s="4">
        <v>1</v>
      </c>
      <c r="K6" s="14">
        <v>1</v>
      </c>
      <c r="L6" s="15">
        <v>150000</v>
      </c>
      <c r="M6" s="15">
        <f t="shared" si="0"/>
        <v>150000</v>
      </c>
      <c r="N6" s="16">
        <v>45811</v>
      </c>
      <c r="O6" s="4" t="s">
        <v>610</v>
      </c>
      <c r="P6" s="4" t="s">
        <v>581</v>
      </c>
      <c r="Q6" s="4" t="s">
        <v>351</v>
      </c>
      <c r="R6" s="4" t="s">
        <v>582</v>
      </c>
      <c r="S6" s="4" t="s">
        <v>604</v>
      </c>
      <c r="T6" s="4"/>
      <c r="U6" s="4" t="s">
        <v>618</v>
      </c>
      <c r="V6" s="16">
        <v>45766</v>
      </c>
      <c r="W6" s="4" t="s">
        <v>619</v>
      </c>
      <c r="X6" s="4" t="s">
        <v>620</v>
      </c>
      <c r="Y6" s="16"/>
      <c r="Z6" s="4"/>
      <c r="AA6" s="16"/>
      <c r="AB6" s="16">
        <v>45721</v>
      </c>
      <c r="AC6" s="17">
        <f>IF(I6=1,N6-AB6,Overview!$B$5-AB6)</f>
        <v>90</v>
      </c>
      <c r="AD6" s="4" t="s">
        <v>587</v>
      </c>
      <c r="AE6" s="8">
        <v>0</v>
      </c>
      <c r="AF6" s="8">
        <v>0</v>
      </c>
      <c r="AG6" s="8">
        <v>0</v>
      </c>
      <c r="AH6" s="7">
        <v>1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</row>
    <row r="7" spans="1:50" ht="24.95">
      <c r="A7" s="4" t="s">
        <v>621</v>
      </c>
      <c r="B7" s="4" t="s">
        <v>622</v>
      </c>
      <c r="C7" s="4" t="s">
        <v>623</v>
      </c>
      <c r="D7" s="4" t="s">
        <v>624</v>
      </c>
      <c r="E7" s="4" t="s">
        <v>577</v>
      </c>
      <c r="F7" s="4" t="s">
        <v>602</v>
      </c>
      <c r="G7" s="4" t="s">
        <v>579</v>
      </c>
      <c r="H7" s="4" t="s">
        <v>289</v>
      </c>
      <c r="I7" s="4">
        <v>1</v>
      </c>
      <c r="J7" s="4">
        <v>0</v>
      </c>
      <c r="K7" s="14">
        <v>0</v>
      </c>
      <c r="L7" s="15">
        <v>900000</v>
      </c>
      <c r="M7" s="15">
        <f t="shared" si="0"/>
        <v>0</v>
      </c>
      <c r="N7" s="16">
        <v>45814</v>
      </c>
      <c r="O7" s="4" t="s">
        <v>610</v>
      </c>
      <c r="P7" s="4" t="s">
        <v>581</v>
      </c>
      <c r="Q7" s="4" t="s">
        <v>592</v>
      </c>
      <c r="R7" s="4" t="s">
        <v>625</v>
      </c>
      <c r="S7" s="4" t="s">
        <v>583</v>
      </c>
      <c r="T7" s="4"/>
      <c r="U7" s="4" t="s">
        <v>626</v>
      </c>
      <c r="V7" s="16">
        <v>45766</v>
      </c>
      <c r="W7" s="4" t="s">
        <v>627</v>
      </c>
      <c r="X7" s="4" t="s">
        <v>628</v>
      </c>
      <c r="Y7" s="16"/>
      <c r="Z7" s="4"/>
      <c r="AA7" s="16"/>
      <c r="AB7" s="16">
        <v>45693</v>
      </c>
      <c r="AC7" s="17">
        <f>IF(I7=1,N7-AB7,Overview!$B$5-AB7)</f>
        <v>121</v>
      </c>
      <c r="AD7" s="4" t="s">
        <v>587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</row>
    <row r="8" spans="1:50">
      <c r="A8" s="4" t="s">
        <v>629</v>
      </c>
      <c r="B8" s="4" t="s">
        <v>630</v>
      </c>
      <c r="C8" s="4" t="s">
        <v>631</v>
      </c>
      <c r="D8" s="4" t="s">
        <v>632</v>
      </c>
      <c r="E8" s="4" t="s">
        <v>577</v>
      </c>
      <c r="F8" s="4" t="s">
        <v>609</v>
      </c>
      <c r="G8" s="4" t="s">
        <v>579</v>
      </c>
      <c r="H8" s="4" t="s">
        <v>276</v>
      </c>
      <c r="I8" s="4">
        <v>1</v>
      </c>
      <c r="J8" s="4">
        <v>1</v>
      </c>
      <c r="K8" s="14">
        <v>1</v>
      </c>
      <c r="L8" s="15">
        <v>320000</v>
      </c>
      <c r="M8" s="15">
        <f t="shared" si="0"/>
        <v>320000</v>
      </c>
      <c r="N8" s="16">
        <v>45816</v>
      </c>
      <c r="O8" s="4" t="s">
        <v>610</v>
      </c>
      <c r="P8" s="4" t="s">
        <v>581</v>
      </c>
      <c r="Q8" s="4" t="s">
        <v>351</v>
      </c>
      <c r="R8" s="4" t="s">
        <v>582</v>
      </c>
      <c r="S8" s="4" t="s">
        <v>633</v>
      </c>
      <c r="T8" s="4"/>
      <c r="U8" s="4" t="s">
        <v>595</v>
      </c>
      <c r="V8" s="16">
        <v>45791</v>
      </c>
      <c r="W8" s="4" t="s">
        <v>634</v>
      </c>
      <c r="X8" s="4" t="s">
        <v>635</v>
      </c>
      <c r="Y8" s="16"/>
      <c r="Z8" s="4"/>
      <c r="AA8" s="16"/>
      <c r="AB8" s="16">
        <v>45753</v>
      </c>
      <c r="AC8" s="17">
        <f>IF(I8=1,N8-AB8,Overview!$B$5-AB8)</f>
        <v>63</v>
      </c>
      <c r="AD8" s="4" t="s">
        <v>587</v>
      </c>
      <c r="AE8" s="8">
        <v>0</v>
      </c>
      <c r="AF8" s="8">
        <v>0</v>
      </c>
      <c r="AG8" s="8">
        <v>0</v>
      </c>
      <c r="AH8" s="7">
        <v>1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</row>
    <row r="9" spans="1:50" ht="24.95">
      <c r="A9" s="4" t="s">
        <v>636</v>
      </c>
      <c r="B9" s="4" t="s">
        <v>637</v>
      </c>
      <c r="C9" s="4" t="s">
        <v>615</v>
      </c>
      <c r="D9" s="4" t="s">
        <v>616</v>
      </c>
      <c r="E9" s="4" t="s">
        <v>617</v>
      </c>
      <c r="F9" s="4" t="s">
        <v>609</v>
      </c>
      <c r="G9" s="4" t="s">
        <v>579</v>
      </c>
      <c r="H9" s="4" t="s">
        <v>276</v>
      </c>
      <c r="I9" s="4">
        <v>1</v>
      </c>
      <c r="J9" s="4">
        <v>1</v>
      </c>
      <c r="K9" s="14">
        <v>1</v>
      </c>
      <c r="L9" s="15">
        <v>3500000</v>
      </c>
      <c r="M9" s="15">
        <f t="shared" si="0"/>
        <v>3500000</v>
      </c>
      <c r="N9" s="16">
        <v>45827</v>
      </c>
      <c r="O9" s="4" t="s">
        <v>610</v>
      </c>
      <c r="P9" s="4" t="s">
        <v>581</v>
      </c>
      <c r="Q9" s="4" t="s">
        <v>351</v>
      </c>
      <c r="R9" s="4" t="s">
        <v>638</v>
      </c>
      <c r="S9" s="4" t="s">
        <v>639</v>
      </c>
      <c r="T9" s="4"/>
      <c r="U9" s="4" t="s">
        <v>640</v>
      </c>
      <c r="V9" s="16">
        <v>45769</v>
      </c>
      <c r="W9" s="4" t="s">
        <v>634</v>
      </c>
      <c r="X9" s="4" t="s">
        <v>635</v>
      </c>
      <c r="Y9" s="16"/>
      <c r="Z9" s="4"/>
      <c r="AA9" s="16"/>
      <c r="AB9" s="16">
        <v>45727</v>
      </c>
      <c r="AC9" s="17">
        <f>IF(I9=1,N9-AB9,Overview!$B$5-AB9)</f>
        <v>100</v>
      </c>
      <c r="AD9" s="4" t="s">
        <v>587</v>
      </c>
      <c r="AE9" s="8">
        <v>0</v>
      </c>
      <c r="AF9" s="8">
        <v>0</v>
      </c>
      <c r="AG9" s="8">
        <v>0</v>
      </c>
      <c r="AH9" s="7">
        <v>1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</row>
    <row r="10" spans="1:50" ht="24.95">
      <c r="A10" s="4" t="s">
        <v>641</v>
      </c>
      <c r="B10" s="4" t="s">
        <v>642</v>
      </c>
      <c r="C10" s="4" t="s">
        <v>643</v>
      </c>
      <c r="D10" s="4" t="s">
        <v>644</v>
      </c>
      <c r="E10" s="4" t="s">
        <v>577</v>
      </c>
      <c r="F10" s="4" t="s">
        <v>578</v>
      </c>
      <c r="G10" s="4" t="s">
        <v>579</v>
      </c>
      <c r="H10" s="4" t="s">
        <v>276</v>
      </c>
      <c r="I10" s="4">
        <v>1</v>
      </c>
      <c r="J10" s="4">
        <v>1</v>
      </c>
      <c r="K10" s="14">
        <v>1</v>
      </c>
      <c r="L10" s="15">
        <v>1500000</v>
      </c>
      <c r="M10" s="15">
        <f t="shared" si="0"/>
        <v>1500000</v>
      </c>
      <c r="N10" s="16">
        <v>45847</v>
      </c>
      <c r="O10" s="4" t="s">
        <v>645</v>
      </c>
      <c r="P10" s="4" t="s">
        <v>581</v>
      </c>
      <c r="Q10" s="4" t="s">
        <v>351</v>
      </c>
      <c r="R10" s="4" t="s">
        <v>625</v>
      </c>
      <c r="S10" s="4" t="s">
        <v>604</v>
      </c>
      <c r="T10" s="4"/>
      <c r="U10" s="4" t="s">
        <v>618</v>
      </c>
      <c r="V10" s="16">
        <v>45810</v>
      </c>
      <c r="W10" s="4" t="s">
        <v>585</v>
      </c>
      <c r="X10" s="4" t="s">
        <v>586</v>
      </c>
      <c r="Y10" s="16"/>
      <c r="Z10" s="4"/>
      <c r="AA10" s="16"/>
      <c r="AB10" s="16">
        <v>45752</v>
      </c>
      <c r="AC10" s="17">
        <f>IF(I10=1,N10-AB10,Overview!$B$5-AB10)</f>
        <v>95</v>
      </c>
      <c r="AD10" s="4" t="s">
        <v>587</v>
      </c>
      <c r="AE10" s="8">
        <v>0</v>
      </c>
      <c r="AF10" s="8">
        <v>0</v>
      </c>
      <c r="AG10" s="8">
        <v>0</v>
      </c>
      <c r="AH10" s="7">
        <v>1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</row>
    <row r="11" spans="1:50">
      <c r="A11" s="4" t="s">
        <v>646</v>
      </c>
      <c r="B11" s="4" t="s">
        <v>647</v>
      </c>
      <c r="C11" s="4" t="s">
        <v>648</v>
      </c>
      <c r="D11" s="4" t="s">
        <v>649</v>
      </c>
      <c r="E11" s="4" t="s">
        <v>577</v>
      </c>
      <c r="F11" s="4" t="s">
        <v>602</v>
      </c>
      <c r="G11" s="4" t="s">
        <v>650</v>
      </c>
      <c r="H11" s="4" t="s">
        <v>289</v>
      </c>
      <c r="I11" s="4">
        <v>1</v>
      </c>
      <c r="J11" s="4">
        <v>0</v>
      </c>
      <c r="K11" s="14">
        <v>0</v>
      </c>
      <c r="L11" s="15">
        <v>250000</v>
      </c>
      <c r="M11" s="15">
        <f t="shared" si="0"/>
        <v>0</v>
      </c>
      <c r="N11" s="16">
        <v>45890</v>
      </c>
      <c r="O11" s="4" t="s">
        <v>645</v>
      </c>
      <c r="P11" s="4" t="s">
        <v>581</v>
      </c>
      <c r="Q11" s="4" t="s">
        <v>592</v>
      </c>
      <c r="R11" s="4" t="s">
        <v>582</v>
      </c>
      <c r="S11" s="4" t="s">
        <v>594</v>
      </c>
      <c r="T11" s="4"/>
      <c r="U11" s="4" t="s">
        <v>626</v>
      </c>
      <c r="V11" s="16">
        <v>45862</v>
      </c>
      <c r="W11" s="4" t="s">
        <v>651</v>
      </c>
      <c r="X11" s="4" t="s">
        <v>652</v>
      </c>
      <c r="Y11" s="16"/>
      <c r="Z11" s="4"/>
      <c r="AA11" s="16"/>
      <c r="AB11" s="16">
        <v>45818</v>
      </c>
      <c r="AC11" s="17">
        <f>IF(I11=1,N11-AB11,Overview!$B$5-AB11)</f>
        <v>72</v>
      </c>
      <c r="AD11" s="4" t="s">
        <v>587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</row>
    <row r="12" spans="1:50" ht="24.95">
      <c r="A12" s="4" t="s">
        <v>653</v>
      </c>
      <c r="B12" s="4" t="s">
        <v>654</v>
      </c>
      <c r="C12" s="4" t="s">
        <v>607</v>
      </c>
      <c r="D12" s="4" t="s">
        <v>608</v>
      </c>
      <c r="E12" s="4" t="s">
        <v>577</v>
      </c>
      <c r="F12" s="4" t="s">
        <v>609</v>
      </c>
      <c r="G12" s="4" t="s">
        <v>650</v>
      </c>
      <c r="H12" s="4" t="s">
        <v>289</v>
      </c>
      <c r="I12" s="4">
        <v>1</v>
      </c>
      <c r="J12" s="4">
        <v>0</v>
      </c>
      <c r="K12" s="14">
        <v>0</v>
      </c>
      <c r="L12" s="15">
        <v>1500000</v>
      </c>
      <c r="M12" s="15">
        <f t="shared" si="0"/>
        <v>0</v>
      </c>
      <c r="N12" s="16">
        <v>45967</v>
      </c>
      <c r="O12" s="4" t="s">
        <v>655</v>
      </c>
      <c r="P12" s="4" t="s">
        <v>581</v>
      </c>
      <c r="Q12" s="4" t="s">
        <v>592</v>
      </c>
      <c r="R12" s="4" t="s">
        <v>593</v>
      </c>
      <c r="S12" s="4" t="s">
        <v>633</v>
      </c>
      <c r="T12" s="4"/>
      <c r="U12" s="4" t="s">
        <v>595</v>
      </c>
      <c r="V12" s="16">
        <v>45926</v>
      </c>
      <c r="W12" s="4" t="s">
        <v>656</v>
      </c>
      <c r="X12" s="4" t="s">
        <v>657</v>
      </c>
      <c r="Y12" s="16"/>
      <c r="Z12" s="4"/>
      <c r="AA12" s="16"/>
      <c r="AB12" s="16">
        <v>45877</v>
      </c>
      <c r="AC12" s="17">
        <f>IF(I12=1,N12-AB12,Overview!$B$5-AB12)</f>
        <v>90</v>
      </c>
      <c r="AD12" s="4" t="s">
        <v>587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</row>
    <row r="13" spans="1:50" ht="24.95">
      <c r="A13" s="4" t="s">
        <v>658</v>
      </c>
      <c r="B13" s="4" t="s">
        <v>659</v>
      </c>
      <c r="C13" s="4" t="s">
        <v>643</v>
      </c>
      <c r="D13" s="4" t="s">
        <v>644</v>
      </c>
      <c r="E13" s="4" t="s">
        <v>577</v>
      </c>
      <c r="F13" s="4" t="s">
        <v>578</v>
      </c>
      <c r="G13" s="4" t="s">
        <v>603</v>
      </c>
      <c r="H13" s="4" t="s">
        <v>276</v>
      </c>
      <c r="I13" s="4">
        <v>1</v>
      </c>
      <c r="J13" s="4">
        <v>1</v>
      </c>
      <c r="K13" s="14">
        <v>1</v>
      </c>
      <c r="L13" s="15">
        <v>750000</v>
      </c>
      <c r="M13" s="15">
        <f t="shared" si="0"/>
        <v>750000</v>
      </c>
      <c r="N13" s="16">
        <v>45968</v>
      </c>
      <c r="O13" s="4" t="s">
        <v>655</v>
      </c>
      <c r="P13" s="4" t="s">
        <v>581</v>
      </c>
      <c r="Q13" s="4" t="s">
        <v>351</v>
      </c>
      <c r="R13" s="4" t="s">
        <v>582</v>
      </c>
      <c r="S13" s="4" t="s">
        <v>660</v>
      </c>
      <c r="T13" s="4"/>
      <c r="U13" s="4" t="s">
        <v>640</v>
      </c>
      <c r="V13" s="16">
        <v>45928</v>
      </c>
      <c r="W13" s="4" t="s">
        <v>634</v>
      </c>
      <c r="X13" s="4" t="s">
        <v>635</v>
      </c>
      <c r="Y13" s="16"/>
      <c r="Z13" s="4"/>
      <c r="AA13" s="16"/>
      <c r="AB13" s="16">
        <v>45856</v>
      </c>
      <c r="AC13" s="17">
        <f>IF(I13=1,N13-AB13,Overview!$B$5-AB13)</f>
        <v>112</v>
      </c>
      <c r="AD13" s="4" t="s">
        <v>587</v>
      </c>
      <c r="AE13" s="8">
        <v>0</v>
      </c>
      <c r="AF13" s="8">
        <v>0</v>
      </c>
      <c r="AG13" s="8">
        <v>0</v>
      </c>
      <c r="AH13" s="7">
        <v>1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7">
        <v>1</v>
      </c>
    </row>
    <row r="14" spans="1:50">
      <c r="A14" s="4" t="s">
        <v>661</v>
      </c>
      <c r="B14" s="4" t="s">
        <v>589</v>
      </c>
      <c r="C14" s="4" t="s">
        <v>590</v>
      </c>
      <c r="D14" s="4" t="s">
        <v>591</v>
      </c>
      <c r="E14" s="4" t="s">
        <v>577</v>
      </c>
      <c r="F14" s="4" t="s">
        <v>578</v>
      </c>
      <c r="G14" s="4" t="s">
        <v>650</v>
      </c>
      <c r="H14" s="4" t="s">
        <v>289</v>
      </c>
      <c r="I14" s="4">
        <v>1</v>
      </c>
      <c r="J14" s="4">
        <v>0</v>
      </c>
      <c r="K14" s="14">
        <v>0</v>
      </c>
      <c r="L14" s="15">
        <v>150000</v>
      </c>
      <c r="M14" s="15">
        <f t="shared" si="0"/>
        <v>0</v>
      </c>
      <c r="N14" s="16">
        <v>45979</v>
      </c>
      <c r="O14" s="4" t="s">
        <v>655</v>
      </c>
      <c r="P14" s="4" t="s">
        <v>581</v>
      </c>
      <c r="Q14" s="4" t="s">
        <v>592</v>
      </c>
      <c r="R14" s="4" t="s">
        <v>662</v>
      </c>
      <c r="S14" s="4" t="s">
        <v>639</v>
      </c>
      <c r="T14" s="4"/>
      <c r="U14" s="4" t="s">
        <v>595</v>
      </c>
      <c r="V14" s="16">
        <v>45936</v>
      </c>
      <c r="W14" s="4" t="s">
        <v>596</v>
      </c>
      <c r="X14" s="4" t="s">
        <v>597</v>
      </c>
      <c r="Y14" s="16"/>
      <c r="Z14" s="4"/>
      <c r="AA14" s="16"/>
      <c r="AB14" s="16">
        <v>45881</v>
      </c>
      <c r="AC14" s="17">
        <f>IF(I14=1,N14-AB14,Overview!$B$5-AB14)</f>
        <v>98</v>
      </c>
      <c r="AD14" s="4" t="s">
        <v>587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</row>
    <row r="15" spans="1:50" ht="24.95">
      <c r="A15" s="4" t="s">
        <v>663</v>
      </c>
      <c r="B15" s="4" t="s">
        <v>664</v>
      </c>
      <c r="C15" s="4" t="s">
        <v>575</v>
      </c>
      <c r="D15" s="4" t="s">
        <v>576</v>
      </c>
      <c r="E15" s="4" t="s">
        <v>577</v>
      </c>
      <c r="F15" s="4" t="s">
        <v>578</v>
      </c>
      <c r="G15" s="4" t="s">
        <v>603</v>
      </c>
      <c r="H15" s="4" t="s">
        <v>276</v>
      </c>
      <c r="I15" s="4">
        <v>1</v>
      </c>
      <c r="J15" s="4">
        <v>1</v>
      </c>
      <c r="K15" s="14">
        <v>1</v>
      </c>
      <c r="L15" s="15">
        <v>1200000</v>
      </c>
      <c r="M15" s="15">
        <f t="shared" si="0"/>
        <v>1200000</v>
      </c>
      <c r="N15" s="16">
        <v>46025</v>
      </c>
      <c r="O15" s="4" t="s">
        <v>580</v>
      </c>
      <c r="P15" s="4" t="s">
        <v>665</v>
      </c>
      <c r="Q15" s="4" t="s">
        <v>351</v>
      </c>
      <c r="R15" s="4" t="s">
        <v>638</v>
      </c>
      <c r="S15" s="4" t="s">
        <v>660</v>
      </c>
      <c r="T15" s="4"/>
      <c r="U15" s="4" t="s">
        <v>595</v>
      </c>
      <c r="V15" s="16">
        <v>45969</v>
      </c>
      <c r="W15" s="4" t="s">
        <v>611</v>
      </c>
      <c r="X15" s="4" t="s">
        <v>612</v>
      </c>
      <c r="Y15" s="16"/>
      <c r="Z15" s="4"/>
      <c r="AA15" s="16"/>
      <c r="AB15" s="16">
        <v>45907</v>
      </c>
      <c r="AC15" s="17">
        <f>IF(I15=1,N15-AB15,Overview!$B$5-AB15)</f>
        <v>118</v>
      </c>
      <c r="AD15" s="4" t="s">
        <v>587</v>
      </c>
      <c r="AE15" s="7">
        <v>1</v>
      </c>
      <c r="AF15" s="8">
        <v>0</v>
      </c>
      <c r="AG15" s="8">
        <v>0</v>
      </c>
      <c r="AH15" s="7">
        <v>1</v>
      </c>
      <c r="AI15" s="8">
        <v>0</v>
      </c>
      <c r="AJ15" s="8">
        <v>0</v>
      </c>
      <c r="AK15" s="8">
        <v>0</v>
      </c>
      <c r="AL15" s="7">
        <v>1</v>
      </c>
      <c r="AM15" s="7">
        <v>1</v>
      </c>
      <c r="AN15" s="7">
        <v>1</v>
      </c>
      <c r="AO15" s="7">
        <v>1</v>
      </c>
      <c r="AP15" s="8">
        <v>0</v>
      </c>
      <c r="AQ15" s="8">
        <v>0</v>
      </c>
      <c r="AR15" s="8">
        <v>0</v>
      </c>
      <c r="AS15" s="8">
        <v>0</v>
      </c>
      <c r="AT15" s="7">
        <v>1</v>
      </c>
      <c r="AU15" s="7">
        <v>1</v>
      </c>
      <c r="AV15" s="7">
        <v>1</v>
      </c>
      <c r="AW15" s="8">
        <v>0</v>
      </c>
      <c r="AX15" s="7">
        <v>1</v>
      </c>
    </row>
    <row r="16" spans="1:50">
      <c r="A16" s="4" t="s">
        <v>666</v>
      </c>
      <c r="B16" s="4" t="s">
        <v>667</v>
      </c>
      <c r="C16" s="4" t="s">
        <v>631</v>
      </c>
      <c r="D16" s="4" t="s">
        <v>632</v>
      </c>
      <c r="E16" s="4" t="s">
        <v>577</v>
      </c>
      <c r="F16" s="4" t="s">
        <v>609</v>
      </c>
      <c r="G16" s="4" t="s">
        <v>603</v>
      </c>
      <c r="H16" s="4" t="s">
        <v>289</v>
      </c>
      <c r="I16" s="4">
        <v>1</v>
      </c>
      <c r="J16" s="4">
        <v>0</v>
      </c>
      <c r="K16" s="14">
        <v>0</v>
      </c>
      <c r="L16" s="15">
        <v>900000</v>
      </c>
      <c r="M16" s="15">
        <f t="shared" si="0"/>
        <v>0</v>
      </c>
      <c r="N16" s="16">
        <v>46062</v>
      </c>
      <c r="O16" s="4" t="s">
        <v>580</v>
      </c>
      <c r="P16" s="4" t="s">
        <v>665</v>
      </c>
      <c r="Q16" s="4" t="s">
        <v>592</v>
      </c>
      <c r="R16" s="4" t="s">
        <v>662</v>
      </c>
      <c r="S16" s="4" t="s">
        <v>594</v>
      </c>
      <c r="T16" s="4"/>
      <c r="U16" s="4" t="s">
        <v>584</v>
      </c>
      <c r="V16" s="16">
        <v>46032</v>
      </c>
      <c r="W16" s="4" t="s">
        <v>596</v>
      </c>
      <c r="X16" s="4" t="s">
        <v>597</v>
      </c>
      <c r="Y16" s="16"/>
      <c r="Z16" s="4"/>
      <c r="AA16" s="16"/>
      <c r="AB16" s="16">
        <v>45963</v>
      </c>
      <c r="AC16" s="17">
        <f>IF(I16=1,N16-AB16,Overview!$B$5-AB16)</f>
        <v>99</v>
      </c>
      <c r="AD16" s="4" t="s">
        <v>587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7">
        <v>1</v>
      </c>
      <c r="AN16" s="7">
        <v>1</v>
      </c>
      <c r="AO16" s="8">
        <v>0</v>
      </c>
      <c r="AP16" s="7">
        <v>1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</row>
    <row r="17" spans="1:50">
      <c r="A17" s="4" t="s">
        <v>668</v>
      </c>
      <c r="B17" s="4" t="s">
        <v>669</v>
      </c>
      <c r="C17" s="4" t="s">
        <v>575</v>
      </c>
      <c r="D17" s="4" t="s">
        <v>576</v>
      </c>
      <c r="E17" s="4" t="s">
        <v>577</v>
      </c>
      <c r="F17" s="4" t="s">
        <v>578</v>
      </c>
      <c r="G17" s="4" t="s">
        <v>650</v>
      </c>
      <c r="H17" s="4" t="s">
        <v>276</v>
      </c>
      <c r="I17" s="4">
        <v>1</v>
      </c>
      <c r="J17" s="4">
        <v>1</v>
      </c>
      <c r="K17" s="14">
        <v>1</v>
      </c>
      <c r="L17" s="15">
        <v>1200000</v>
      </c>
      <c r="M17" s="15">
        <f t="shared" si="0"/>
        <v>1200000</v>
      </c>
      <c r="N17" s="16">
        <v>46093</v>
      </c>
      <c r="O17" s="4" t="s">
        <v>580</v>
      </c>
      <c r="P17" s="4" t="s">
        <v>665</v>
      </c>
      <c r="Q17" s="4" t="s">
        <v>351</v>
      </c>
      <c r="R17" s="4" t="s">
        <v>593</v>
      </c>
      <c r="S17" s="4" t="s">
        <v>660</v>
      </c>
      <c r="T17" s="4"/>
      <c r="U17" s="4" t="s">
        <v>584</v>
      </c>
      <c r="V17" s="16">
        <v>46033</v>
      </c>
      <c r="W17" s="4" t="s">
        <v>611</v>
      </c>
      <c r="X17" s="4" t="s">
        <v>612</v>
      </c>
      <c r="Y17" s="16"/>
      <c r="Z17" s="4"/>
      <c r="AA17" s="16"/>
      <c r="AB17" s="16">
        <v>45992</v>
      </c>
      <c r="AC17" s="17">
        <f>IF(I17=1,N17-AB17,Overview!$B$5-AB17)</f>
        <v>101</v>
      </c>
      <c r="AD17" s="4" t="s">
        <v>587</v>
      </c>
      <c r="AE17" s="7">
        <v>1</v>
      </c>
      <c r="AF17" s="8">
        <v>0</v>
      </c>
      <c r="AG17" s="8">
        <v>0</v>
      </c>
      <c r="AH17" s="7">
        <v>1</v>
      </c>
      <c r="AI17" s="8">
        <v>0</v>
      </c>
      <c r="AJ17" s="8">
        <v>0</v>
      </c>
      <c r="AK17" s="8">
        <v>0</v>
      </c>
      <c r="AL17" s="7">
        <v>1</v>
      </c>
      <c r="AM17" s="7">
        <v>1</v>
      </c>
      <c r="AN17" s="7">
        <v>1</v>
      </c>
      <c r="AO17" s="7">
        <v>1</v>
      </c>
      <c r="AP17" s="8">
        <v>0</v>
      </c>
      <c r="AQ17" s="8">
        <v>0</v>
      </c>
      <c r="AR17" s="8">
        <v>0</v>
      </c>
      <c r="AS17" s="8">
        <v>0</v>
      </c>
      <c r="AT17" s="7">
        <v>1</v>
      </c>
      <c r="AU17" s="7">
        <v>1</v>
      </c>
      <c r="AV17" s="7">
        <v>1</v>
      </c>
      <c r="AW17" s="8">
        <v>0</v>
      </c>
      <c r="AX17" s="7">
        <v>1</v>
      </c>
    </row>
    <row r="18" spans="1:50" ht="24.95">
      <c r="A18" s="4" t="s">
        <v>670</v>
      </c>
      <c r="B18" s="4" t="s">
        <v>671</v>
      </c>
      <c r="C18" s="4" t="s">
        <v>607</v>
      </c>
      <c r="D18" s="4" t="s">
        <v>608</v>
      </c>
      <c r="E18" s="4" t="s">
        <v>577</v>
      </c>
      <c r="F18" s="4" t="s">
        <v>609</v>
      </c>
      <c r="G18" s="4" t="s">
        <v>579</v>
      </c>
      <c r="H18" s="4" t="s">
        <v>289</v>
      </c>
      <c r="I18" s="4">
        <v>1</v>
      </c>
      <c r="J18" s="4">
        <v>0</v>
      </c>
      <c r="K18" s="14">
        <v>0</v>
      </c>
      <c r="L18" s="15">
        <v>320000</v>
      </c>
      <c r="M18" s="15">
        <f t="shared" si="0"/>
        <v>0</v>
      </c>
      <c r="N18" s="16">
        <v>46102</v>
      </c>
      <c r="O18" s="4" t="s">
        <v>580</v>
      </c>
      <c r="P18" s="4" t="s">
        <v>665</v>
      </c>
      <c r="Q18" s="4" t="s">
        <v>592</v>
      </c>
      <c r="R18" s="4" t="s">
        <v>662</v>
      </c>
      <c r="S18" s="4" t="s">
        <v>633</v>
      </c>
      <c r="T18" s="4"/>
      <c r="U18" s="4" t="s">
        <v>618</v>
      </c>
      <c r="V18" s="16">
        <v>46051</v>
      </c>
      <c r="W18" s="4" t="s">
        <v>627</v>
      </c>
      <c r="X18" s="4" t="s">
        <v>628</v>
      </c>
      <c r="Y18" s="16"/>
      <c r="Z18" s="4"/>
      <c r="AA18" s="16"/>
      <c r="AB18" s="16">
        <v>46020</v>
      </c>
      <c r="AC18" s="17">
        <f>IF(I18=1,N18-AB18,Overview!$B$5-AB18)</f>
        <v>82</v>
      </c>
      <c r="AD18" s="4" t="s">
        <v>587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7">
        <v>1</v>
      </c>
      <c r="AN18" s="7">
        <v>1</v>
      </c>
      <c r="AO18" s="8">
        <v>0</v>
      </c>
      <c r="AP18" s="7">
        <v>1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</row>
    <row r="19" spans="1:50" ht="24.95">
      <c r="A19" s="4" t="s">
        <v>672</v>
      </c>
      <c r="B19" s="4" t="s">
        <v>673</v>
      </c>
      <c r="C19" s="4" t="s">
        <v>623</v>
      </c>
      <c r="D19" s="4" t="s">
        <v>624</v>
      </c>
      <c r="E19" s="4" t="s">
        <v>577</v>
      </c>
      <c r="F19" s="4" t="s">
        <v>602</v>
      </c>
      <c r="G19" s="4" t="s">
        <v>603</v>
      </c>
      <c r="H19" s="4" t="s">
        <v>289</v>
      </c>
      <c r="I19" s="4">
        <v>1</v>
      </c>
      <c r="J19" s="4">
        <v>0</v>
      </c>
      <c r="K19" s="14">
        <v>0</v>
      </c>
      <c r="L19" s="15">
        <v>750000</v>
      </c>
      <c r="M19" s="15">
        <f t="shared" si="0"/>
        <v>0</v>
      </c>
      <c r="N19" s="16">
        <v>46119</v>
      </c>
      <c r="O19" s="4" t="s">
        <v>610</v>
      </c>
      <c r="P19" s="4" t="s">
        <v>665</v>
      </c>
      <c r="Q19" s="4" t="s">
        <v>592</v>
      </c>
      <c r="R19" s="4" t="s">
        <v>638</v>
      </c>
      <c r="S19" s="4" t="s">
        <v>583</v>
      </c>
      <c r="T19" s="4"/>
      <c r="U19" s="4" t="s">
        <v>626</v>
      </c>
      <c r="V19" s="16">
        <v>46071</v>
      </c>
      <c r="W19" s="4" t="s">
        <v>627</v>
      </c>
      <c r="X19" s="4" t="s">
        <v>628</v>
      </c>
      <c r="Y19" s="16"/>
      <c r="Z19" s="4"/>
      <c r="AA19" s="16"/>
      <c r="AB19" s="16">
        <v>46001</v>
      </c>
      <c r="AC19" s="17">
        <f>IF(I19=1,N19-AB19,Overview!$B$5-AB19)</f>
        <v>118</v>
      </c>
      <c r="AD19" s="4" t="s">
        <v>587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7">
        <v>1</v>
      </c>
      <c r="AN19" s="7">
        <v>1</v>
      </c>
      <c r="AO19" s="8">
        <v>0</v>
      </c>
      <c r="AP19" s="7">
        <v>1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</row>
    <row r="20" spans="1:50" ht="24.95">
      <c r="A20" s="4" t="s">
        <v>674</v>
      </c>
      <c r="B20" s="4" t="s">
        <v>675</v>
      </c>
      <c r="C20" s="4" t="s">
        <v>607</v>
      </c>
      <c r="D20" s="4" t="s">
        <v>608</v>
      </c>
      <c r="E20" s="4" t="s">
        <v>577</v>
      </c>
      <c r="F20" s="4" t="s">
        <v>609</v>
      </c>
      <c r="G20" s="4" t="s">
        <v>650</v>
      </c>
      <c r="H20" s="4" t="s">
        <v>276</v>
      </c>
      <c r="I20" s="4">
        <v>1</v>
      </c>
      <c r="J20" s="4">
        <v>1</v>
      </c>
      <c r="K20" s="14">
        <v>1</v>
      </c>
      <c r="L20" s="15">
        <v>750000</v>
      </c>
      <c r="M20" s="15">
        <f t="shared" si="0"/>
        <v>750000</v>
      </c>
      <c r="N20" s="16">
        <v>46121</v>
      </c>
      <c r="O20" s="4" t="s">
        <v>610</v>
      </c>
      <c r="P20" s="4" t="s">
        <v>665</v>
      </c>
      <c r="Q20" s="4" t="s">
        <v>351</v>
      </c>
      <c r="R20" s="4" t="s">
        <v>662</v>
      </c>
      <c r="S20" s="4" t="s">
        <v>633</v>
      </c>
      <c r="T20" s="4"/>
      <c r="U20" s="4" t="s">
        <v>640</v>
      </c>
      <c r="V20" s="16">
        <v>46089</v>
      </c>
      <c r="W20" s="4" t="s">
        <v>611</v>
      </c>
      <c r="X20" s="4" t="s">
        <v>612</v>
      </c>
      <c r="Y20" s="16"/>
      <c r="Z20" s="4"/>
      <c r="AA20" s="16"/>
      <c r="AB20" s="16">
        <v>46055</v>
      </c>
      <c r="AC20" s="17">
        <f>IF(I20=1,N20-AB20,Overview!$B$5-AB20)</f>
        <v>66</v>
      </c>
      <c r="AD20" s="4" t="s">
        <v>587</v>
      </c>
      <c r="AE20" s="7">
        <v>1</v>
      </c>
      <c r="AF20" s="8">
        <v>0</v>
      </c>
      <c r="AG20" s="8">
        <v>0</v>
      </c>
      <c r="AH20" s="7">
        <v>1</v>
      </c>
      <c r="AI20" s="8">
        <v>0</v>
      </c>
      <c r="AJ20" s="8">
        <v>0</v>
      </c>
      <c r="AK20" s="8">
        <v>0</v>
      </c>
      <c r="AL20" s="7">
        <v>1</v>
      </c>
      <c r="AM20" s="7">
        <v>1</v>
      </c>
      <c r="AN20" s="7">
        <v>1</v>
      </c>
      <c r="AO20" s="7">
        <v>1</v>
      </c>
      <c r="AP20" s="8">
        <v>0</v>
      </c>
      <c r="AQ20" s="8">
        <v>0</v>
      </c>
      <c r="AR20" s="8">
        <v>0</v>
      </c>
      <c r="AS20" s="8">
        <v>0</v>
      </c>
      <c r="AT20" s="7">
        <v>1</v>
      </c>
      <c r="AU20" s="7">
        <v>1</v>
      </c>
      <c r="AV20" s="7">
        <v>1</v>
      </c>
      <c r="AW20" s="8">
        <v>0</v>
      </c>
      <c r="AX20" s="7">
        <v>1</v>
      </c>
    </row>
    <row r="21" spans="1:50" ht="24.95">
      <c r="A21" s="4" t="s">
        <v>676</v>
      </c>
      <c r="B21" s="4" t="s">
        <v>677</v>
      </c>
      <c r="C21" s="4" t="s">
        <v>678</v>
      </c>
      <c r="D21" s="4" t="s">
        <v>679</v>
      </c>
      <c r="E21" s="4" t="s">
        <v>617</v>
      </c>
      <c r="F21" s="4" t="s">
        <v>602</v>
      </c>
      <c r="G21" s="4" t="s">
        <v>650</v>
      </c>
      <c r="H21" s="4" t="s">
        <v>276</v>
      </c>
      <c r="I21" s="4">
        <v>1</v>
      </c>
      <c r="J21" s="4">
        <v>1</v>
      </c>
      <c r="K21" s="14">
        <v>1</v>
      </c>
      <c r="L21" s="15">
        <v>1200000</v>
      </c>
      <c r="M21" s="15">
        <f t="shared" si="0"/>
        <v>1200000</v>
      </c>
      <c r="N21" s="16">
        <v>46157</v>
      </c>
      <c r="O21" s="4" t="s">
        <v>610</v>
      </c>
      <c r="P21" s="4" t="s">
        <v>665</v>
      </c>
      <c r="Q21" s="4" t="s">
        <v>351</v>
      </c>
      <c r="R21" s="4" t="s">
        <v>593</v>
      </c>
      <c r="S21" s="4" t="s">
        <v>639</v>
      </c>
      <c r="T21" s="4"/>
      <c r="U21" s="4" t="s">
        <v>640</v>
      </c>
      <c r="V21" s="16">
        <v>46126</v>
      </c>
      <c r="W21" s="4" t="s">
        <v>634</v>
      </c>
      <c r="X21" s="4" t="s">
        <v>635</v>
      </c>
      <c r="Y21" s="16"/>
      <c r="Z21" s="4"/>
      <c r="AA21" s="16"/>
      <c r="AB21" s="16">
        <v>46091</v>
      </c>
      <c r="AC21" s="17">
        <f>IF(I21=1,N21-AB21,Overview!$B$5-AB21)</f>
        <v>66</v>
      </c>
      <c r="AD21" s="4" t="s">
        <v>587</v>
      </c>
      <c r="AE21" s="7">
        <v>1</v>
      </c>
      <c r="AF21" s="8">
        <v>0</v>
      </c>
      <c r="AG21" s="8">
        <v>0</v>
      </c>
      <c r="AH21" s="7">
        <v>1</v>
      </c>
      <c r="AI21" s="8">
        <v>0</v>
      </c>
      <c r="AJ21" s="8">
        <v>0</v>
      </c>
      <c r="AK21" s="8">
        <v>0</v>
      </c>
      <c r="AL21" s="7">
        <v>1</v>
      </c>
      <c r="AM21" s="7">
        <v>1</v>
      </c>
      <c r="AN21" s="7">
        <v>1</v>
      </c>
      <c r="AO21" s="7">
        <v>1</v>
      </c>
      <c r="AP21" s="8">
        <v>0</v>
      </c>
      <c r="AQ21" s="8">
        <v>0</v>
      </c>
      <c r="AR21" s="8">
        <v>0</v>
      </c>
      <c r="AS21" s="8">
        <v>0</v>
      </c>
      <c r="AT21" s="7">
        <v>1</v>
      </c>
      <c r="AU21" s="7">
        <v>1</v>
      </c>
      <c r="AV21" s="7">
        <v>1</v>
      </c>
      <c r="AW21" s="8">
        <v>0</v>
      </c>
      <c r="AX21" s="7">
        <v>1</v>
      </c>
    </row>
    <row r="22" spans="1:50" ht="24.95">
      <c r="A22" s="4" t="s">
        <v>680</v>
      </c>
      <c r="B22" s="4" t="s">
        <v>681</v>
      </c>
      <c r="C22" s="4" t="s">
        <v>590</v>
      </c>
      <c r="D22" s="4" t="s">
        <v>591</v>
      </c>
      <c r="E22" s="4" t="s">
        <v>577</v>
      </c>
      <c r="F22" s="4" t="s">
        <v>578</v>
      </c>
      <c r="G22" s="4" t="s">
        <v>603</v>
      </c>
      <c r="H22" s="4" t="s">
        <v>289</v>
      </c>
      <c r="I22" s="4">
        <v>1</v>
      </c>
      <c r="J22" s="4">
        <v>0</v>
      </c>
      <c r="K22" s="14">
        <v>0</v>
      </c>
      <c r="L22" s="15">
        <v>2200000</v>
      </c>
      <c r="M22" s="15">
        <f t="shared" si="0"/>
        <v>0</v>
      </c>
      <c r="N22" s="16">
        <v>46170</v>
      </c>
      <c r="O22" s="4" t="s">
        <v>610</v>
      </c>
      <c r="P22" s="4" t="s">
        <v>665</v>
      </c>
      <c r="Q22" s="4" t="s">
        <v>592</v>
      </c>
      <c r="R22" s="4" t="s">
        <v>593</v>
      </c>
      <c r="S22" s="4" t="s">
        <v>594</v>
      </c>
      <c r="T22" s="4"/>
      <c r="U22" s="4" t="s">
        <v>618</v>
      </c>
      <c r="V22" s="16">
        <v>46141</v>
      </c>
      <c r="W22" s="4" t="s">
        <v>596</v>
      </c>
      <c r="X22" s="4" t="s">
        <v>597</v>
      </c>
      <c r="Y22" s="16"/>
      <c r="Z22" s="4"/>
      <c r="AA22" s="16"/>
      <c r="AB22" s="16">
        <v>46093</v>
      </c>
      <c r="AC22" s="17">
        <f>IF(I22=1,N22-AB22,Overview!$B$5-AB22)</f>
        <v>77</v>
      </c>
      <c r="AD22" s="4" t="s">
        <v>587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7">
        <v>1</v>
      </c>
      <c r="AN22" s="7">
        <v>1</v>
      </c>
      <c r="AO22" s="8">
        <v>0</v>
      </c>
      <c r="AP22" s="7">
        <v>1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</row>
    <row r="23" spans="1:50" ht="24.95">
      <c r="A23" s="4" t="s">
        <v>682</v>
      </c>
      <c r="B23" s="4" t="s">
        <v>683</v>
      </c>
      <c r="C23" s="4" t="s">
        <v>600</v>
      </c>
      <c r="D23" s="4" t="s">
        <v>601</v>
      </c>
      <c r="E23" s="4" t="s">
        <v>577</v>
      </c>
      <c r="F23" s="4" t="s">
        <v>602</v>
      </c>
      <c r="G23" s="4" t="s">
        <v>579</v>
      </c>
      <c r="H23" s="4" t="s">
        <v>276</v>
      </c>
      <c r="I23" s="4">
        <v>1</v>
      </c>
      <c r="J23" s="4">
        <v>1</v>
      </c>
      <c r="K23" s="14">
        <v>1</v>
      </c>
      <c r="L23" s="15">
        <v>450000</v>
      </c>
      <c r="M23" s="15">
        <f t="shared" si="0"/>
        <v>450000</v>
      </c>
      <c r="N23" s="16">
        <v>46192</v>
      </c>
      <c r="O23" s="4" t="s">
        <v>610</v>
      </c>
      <c r="P23" s="4" t="s">
        <v>665</v>
      </c>
      <c r="Q23" s="4" t="s">
        <v>351</v>
      </c>
      <c r="R23" s="4" t="s">
        <v>662</v>
      </c>
      <c r="S23" s="4" t="s">
        <v>660</v>
      </c>
      <c r="T23" s="4"/>
      <c r="U23" s="4" t="s">
        <v>584</v>
      </c>
      <c r="V23" s="16">
        <v>46166</v>
      </c>
      <c r="W23" s="4" t="s">
        <v>611</v>
      </c>
      <c r="X23" s="4" t="s">
        <v>612</v>
      </c>
      <c r="Y23" s="16"/>
      <c r="Z23" s="4"/>
      <c r="AA23" s="16"/>
      <c r="AB23" s="16">
        <v>46103</v>
      </c>
      <c r="AC23" s="17">
        <f>IF(I23=1,N23-AB23,Overview!$B$5-AB23)</f>
        <v>89</v>
      </c>
      <c r="AD23" s="4" t="s">
        <v>587</v>
      </c>
      <c r="AE23" s="7">
        <v>1</v>
      </c>
      <c r="AF23" s="8">
        <v>0</v>
      </c>
      <c r="AG23" s="8">
        <v>0</v>
      </c>
      <c r="AH23" s="7">
        <v>1</v>
      </c>
      <c r="AI23" s="8">
        <v>0</v>
      </c>
      <c r="AJ23" s="8">
        <v>0</v>
      </c>
      <c r="AK23" s="8">
        <v>0</v>
      </c>
      <c r="AL23" s="7">
        <v>1</v>
      </c>
      <c r="AM23" s="7">
        <v>1</v>
      </c>
      <c r="AN23" s="7">
        <v>1</v>
      </c>
      <c r="AO23" s="7">
        <v>1</v>
      </c>
      <c r="AP23" s="8">
        <v>0</v>
      </c>
      <c r="AQ23" s="8">
        <v>0</v>
      </c>
      <c r="AR23" s="8">
        <v>0</v>
      </c>
      <c r="AS23" s="8">
        <v>0</v>
      </c>
      <c r="AT23" s="7">
        <v>1</v>
      </c>
      <c r="AU23" s="7">
        <v>1</v>
      </c>
      <c r="AV23" s="7">
        <v>1</v>
      </c>
      <c r="AW23" s="8">
        <v>0</v>
      </c>
      <c r="AX23" s="7">
        <v>1</v>
      </c>
    </row>
    <row r="24" spans="1:50" ht="24.95">
      <c r="A24" s="4" t="s">
        <v>684</v>
      </c>
      <c r="B24" s="4" t="s">
        <v>669</v>
      </c>
      <c r="C24" s="4" t="s">
        <v>575</v>
      </c>
      <c r="D24" s="4" t="s">
        <v>576</v>
      </c>
      <c r="E24" s="4" t="s">
        <v>577</v>
      </c>
      <c r="F24" s="4" t="s">
        <v>578</v>
      </c>
      <c r="G24" s="4" t="s">
        <v>650</v>
      </c>
      <c r="H24" s="4" t="s">
        <v>289</v>
      </c>
      <c r="I24" s="4">
        <v>1</v>
      </c>
      <c r="J24" s="4">
        <v>0</v>
      </c>
      <c r="K24" s="14">
        <v>0</v>
      </c>
      <c r="L24" s="15">
        <v>1500000</v>
      </c>
      <c r="M24" s="15">
        <f t="shared" si="0"/>
        <v>0</v>
      </c>
      <c r="N24" s="16">
        <v>46216</v>
      </c>
      <c r="O24" s="4" t="s">
        <v>645</v>
      </c>
      <c r="P24" s="4" t="s">
        <v>665</v>
      </c>
      <c r="Q24" s="4" t="s">
        <v>592</v>
      </c>
      <c r="R24" s="4" t="s">
        <v>638</v>
      </c>
      <c r="S24" s="4" t="s">
        <v>633</v>
      </c>
      <c r="T24" s="4"/>
      <c r="U24" s="4" t="s">
        <v>584</v>
      </c>
      <c r="V24" s="16">
        <v>46177</v>
      </c>
      <c r="W24" s="4" t="s">
        <v>627</v>
      </c>
      <c r="X24" s="4" t="s">
        <v>628</v>
      </c>
      <c r="Y24" s="16"/>
      <c r="Z24" s="4"/>
      <c r="AA24" s="16"/>
      <c r="AB24" s="16">
        <v>46121</v>
      </c>
      <c r="AC24" s="17">
        <f>IF(I24=1,N24-AB24,Overview!$B$5-AB24)</f>
        <v>95</v>
      </c>
      <c r="AD24" s="4" t="s">
        <v>587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7">
        <v>1</v>
      </c>
      <c r="AN24" s="7">
        <v>1</v>
      </c>
      <c r="AO24" s="8">
        <v>0</v>
      </c>
      <c r="AP24" s="7">
        <v>1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</row>
    <row r="25" spans="1:50" ht="24.95">
      <c r="A25" s="4" t="s">
        <v>685</v>
      </c>
      <c r="B25" s="4" t="s">
        <v>686</v>
      </c>
      <c r="C25" s="4" t="s">
        <v>648</v>
      </c>
      <c r="D25" s="4" t="s">
        <v>649</v>
      </c>
      <c r="E25" s="4" t="s">
        <v>577</v>
      </c>
      <c r="F25" s="4" t="s">
        <v>602</v>
      </c>
      <c r="G25" s="4" t="s">
        <v>603</v>
      </c>
      <c r="H25" s="4" t="s">
        <v>289</v>
      </c>
      <c r="I25" s="4">
        <v>1</v>
      </c>
      <c r="J25" s="4">
        <v>0</v>
      </c>
      <c r="K25" s="14">
        <v>0</v>
      </c>
      <c r="L25" s="15">
        <v>150000</v>
      </c>
      <c r="M25" s="15">
        <f t="shared" si="0"/>
        <v>0</v>
      </c>
      <c r="N25" s="16">
        <v>46232</v>
      </c>
      <c r="O25" s="4" t="s">
        <v>645</v>
      </c>
      <c r="P25" s="4" t="s">
        <v>665</v>
      </c>
      <c r="Q25" s="4" t="s">
        <v>592</v>
      </c>
      <c r="R25" s="4" t="s">
        <v>582</v>
      </c>
      <c r="S25" s="4" t="s">
        <v>583</v>
      </c>
      <c r="T25" s="4"/>
      <c r="U25" s="4" t="s">
        <v>584</v>
      </c>
      <c r="V25" s="16">
        <v>46181</v>
      </c>
      <c r="W25" s="4" t="s">
        <v>627</v>
      </c>
      <c r="X25" s="4" t="s">
        <v>628</v>
      </c>
      <c r="Y25" s="16"/>
      <c r="Z25" s="4"/>
      <c r="AA25" s="16"/>
      <c r="AB25" s="16">
        <v>46130</v>
      </c>
      <c r="AC25" s="17">
        <f>IF(I25=1,N25-AB25,Overview!$B$5-AB25)</f>
        <v>102</v>
      </c>
      <c r="AD25" s="4" t="s">
        <v>587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7">
        <v>1</v>
      </c>
      <c r="AN25" s="7">
        <v>1</v>
      </c>
      <c r="AO25" s="8">
        <v>0</v>
      </c>
      <c r="AP25" s="7">
        <v>1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</row>
    <row r="26" spans="1:50" ht="24.95">
      <c r="A26" s="4" t="s">
        <v>687</v>
      </c>
      <c r="B26" s="4" t="s">
        <v>688</v>
      </c>
      <c r="C26" s="4" t="s">
        <v>689</v>
      </c>
      <c r="D26" s="4" t="s">
        <v>690</v>
      </c>
      <c r="E26" s="4" t="s">
        <v>691</v>
      </c>
      <c r="F26" s="4" t="s">
        <v>609</v>
      </c>
      <c r="G26" s="4" t="s">
        <v>603</v>
      </c>
      <c r="H26" s="4" t="s">
        <v>276</v>
      </c>
      <c r="I26" s="4">
        <v>1</v>
      </c>
      <c r="J26" s="4">
        <v>1</v>
      </c>
      <c r="K26" s="14">
        <v>1</v>
      </c>
      <c r="L26" s="15">
        <v>1200000</v>
      </c>
      <c r="M26" s="15">
        <f t="shared" si="0"/>
        <v>1200000</v>
      </c>
      <c r="N26" s="16">
        <v>46234</v>
      </c>
      <c r="O26" s="4" t="s">
        <v>645</v>
      </c>
      <c r="P26" s="4" t="s">
        <v>665</v>
      </c>
      <c r="Q26" s="4" t="s">
        <v>351</v>
      </c>
      <c r="R26" s="4" t="s">
        <v>662</v>
      </c>
      <c r="S26" s="4" t="s">
        <v>639</v>
      </c>
      <c r="T26" s="4"/>
      <c r="U26" s="4" t="s">
        <v>595</v>
      </c>
      <c r="V26" s="16">
        <v>46184</v>
      </c>
      <c r="W26" s="4" t="s">
        <v>692</v>
      </c>
      <c r="X26" s="4" t="s">
        <v>693</v>
      </c>
      <c r="Y26" s="16"/>
      <c r="Z26" s="4"/>
      <c r="AA26" s="16"/>
      <c r="AB26" s="16">
        <v>46132</v>
      </c>
      <c r="AC26" s="17">
        <f>IF(I26=1,N26-AB26,Overview!$B$5-AB26)</f>
        <v>102</v>
      </c>
      <c r="AD26" s="4" t="s">
        <v>587</v>
      </c>
      <c r="AE26" s="7">
        <v>1</v>
      </c>
      <c r="AF26" s="8">
        <v>0</v>
      </c>
      <c r="AG26" s="8">
        <v>0</v>
      </c>
      <c r="AH26" s="7">
        <v>1</v>
      </c>
      <c r="AI26" s="8">
        <v>0</v>
      </c>
      <c r="AJ26" s="8">
        <v>0</v>
      </c>
      <c r="AK26" s="8">
        <v>0</v>
      </c>
      <c r="AL26" s="7">
        <v>1</v>
      </c>
      <c r="AM26" s="7">
        <v>1</v>
      </c>
      <c r="AN26" s="7">
        <v>1</v>
      </c>
      <c r="AO26" s="7">
        <v>1</v>
      </c>
      <c r="AP26" s="8">
        <v>0</v>
      </c>
      <c r="AQ26" s="8">
        <v>0</v>
      </c>
      <c r="AR26" s="8">
        <v>0</v>
      </c>
      <c r="AS26" s="8">
        <v>0</v>
      </c>
      <c r="AT26" s="7">
        <v>1</v>
      </c>
      <c r="AU26" s="7">
        <v>1</v>
      </c>
      <c r="AV26" s="7">
        <v>1</v>
      </c>
      <c r="AW26" s="8">
        <v>0</v>
      </c>
      <c r="AX26" s="7">
        <v>1</v>
      </c>
    </row>
    <row r="27" spans="1:50" ht="24.95">
      <c r="A27" s="4" t="s">
        <v>694</v>
      </c>
      <c r="B27" s="4" t="s">
        <v>695</v>
      </c>
      <c r="C27" s="4" t="s">
        <v>600</v>
      </c>
      <c r="D27" s="4" t="s">
        <v>601</v>
      </c>
      <c r="E27" s="4" t="s">
        <v>577</v>
      </c>
      <c r="F27" s="4" t="s">
        <v>602</v>
      </c>
      <c r="G27" s="4" t="s">
        <v>579</v>
      </c>
      <c r="H27" s="4" t="s">
        <v>696</v>
      </c>
      <c r="I27" s="4">
        <v>0</v>
      </c>
      <c r="J27" s="4">
        <v>0</v>
      </c>
      <c r="K27" s="14">
        <v>0.5</v>
      </c>
      <c r="L27" s="15">
        <v>900000</v>
      </c>
      <c r="M27" s="15">
        <f t="shared" si="0"/>
        <v>450000</v>
      </c>
      <c r="N27" s="16">
        <v>46239</v>
      </c>
      <c r="O27" s="4" t="s">
        <v>645</v>
      </c>
      <c r="P27" s="4" t="s">
        <v>665</v>
      </c>
      <c r="Q27" s="4" t="s">
        <v>697</v>
      </c>
      <c r="R27" s="4" t="s">
        <v>625</v>
      </c>
      <c r="S27" s="4" t="s">
        <v>633</v>
      </c>
      <c r="T27" s="4"/>
      <c r="U27" s="4" t="s">
        <v>595</v>
      </c>
      <c r="V27" s="16">
        <v>46199</v>
      </c>
      <c r="W27" s="4"/>
      <c r="X27" s="4"/>
      <c r="Y27" s="16"/>
      <c r="Z27" s="4"/>
      <c r="AA27" s="16"/>
      <c r="AB27" s="16">
        <v>46152</v>
      </c>
      <c r="AC27" s="17">
        <f>IF(I27=1,N27-AB27,Overview!$B$5-AB27)</f>
        <v>151</v>
      </c>
      <c r="AD27" s="4" t="s">
        <v>587</v>
      </c>
      <c r="AE27" s="8">
        <v>0</v>
      </c>
      <c r="AF27" s="8">
        <v>0</v>
      </c>
      <c r="AG27" s="8">
        <v>0</v>
      </c>
      <c r="AH27" s="8">
        <v>0</v>
      </c>
      <c r="AI27" s="7">
        <v>1</v>
      </c>
      <c r="AJ27" s="8">
        <v>0</v>
      </c>
      <c r="AK27" s="7">
        <v>1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7">
        <v>1</v>
      </c>
      <c r="AS27" s="8">
        <v>0</v>
      </c>
      <c r="AT27" s="7">
        <v>1</v>
      </c>
      <c r="AU27" s="8">
        <v>0</v>
      </c>
      <c r="AV27" s="8">
        <v>0</v>
      </c>
      <c r="AW27" s="8">
        <v>0</v>
      </c>
      <c r="AX27" s="8">
        <v>0</v>
      </c>
    </row>
    <row r="28" spans="1:50" ht="24.95">
      <c r="A28" s="4" t="s">
        <v>698</v>
      </c>
      <c r="B28" s="4" t="s">
        <v>699</v>
      </c>
      <c r="C28" s="4" t="s">
        <v>648</v>
      </c>
      <c r="D28" s="4" t="s">
        <v>649</v>
      </c>
      <c r="E28" s="4" t="s">
        <v>577</v>
      </c>
      <c r="F28" s="4" t="s">
        <v>602</v>
      </c>
      <c r="G28" s="4" t="s">
        <v>650</v>
      </c>
      <c r="H28" s="4" t="s">
        <v>276</v>
      </c>
      <c r="I28" s="4">
        <v>1</v>
      </c>
      <c r="J28" s="4">
        <v>1</v>
      </c>
      <c r="K28" s="14">
        <v>1</v>
      </c>
      <c r="L28" s="15">
        <v>150000</v>
      </c>
      <c r="M28" s="15">
        <f t="shared" si="0"/>
        <v>150000</v>
      </c>
      <c r="N28" s="16">
        <v>46242</v>
      </c>
      <c r="O28" s="4" t="s">
        <v>645</v>
      </c>
      <c r="P28" s="4" t="s">
        <v>665</v>
      </c>
      <c r="Q28" s="4" t="s">
        <v>351</v>
      </c>
      <c r="R28" s="4" t="s">
        <v>625</v>
      </c>
      <c r="S28" s="4" t="s">
        <v>583</v>
      </c>
      <c r="T28" s="4"/>
      <c r="U28" s="4" t="s">
        <v>595</v>
      </c>
      <c r="V28" s="16">
        <v>46194</v>
      </c>
      <c r="W28" s="4" t="s">
        <v>611</v>
      </c>
      <c r="X28" s="4" t="s">
        <v>612</v>
      </c>
      <c r="Y28" s="16"/>
      <c r="Z28" s="4"/>
      <c r="AA28" s="16"/>
      <c r="AB28" s="16">
        <v>46128</v>
      </c>
      <c r="AC28" s="17">
        <f>IF(I28=1,N28-AB28,Overview!$B$5-AB28)</f>
        <v>114</v>
      </c>
      <c r="AD28" s="4" t="s">
        <v>587</v>
      </c>
      <c r="AE28" s="7">
        <v>1</v>
      </c>
      <c r="AF28" s="8">
        <v>0</v>
      </c>
      <c r="AG28" s="8">
        <v>0</v>
      </c>
      <c r="AH28" s="7">
        <v>1</v>
      </c>
      <c r="AI28" s="8">
        <v>0</v>
      </c>
      <c r="AJ28" s="8">
        <v>0</v>
      </c>
      <c r="AK28" s="8">
        <v>0</v>
      </c>
      <c r="AL28" s="7">
        <v>1</v>
      </c>
      <c r="AM28" s="7">
        <v>1</v>
      </c>
      <c r="AN28" s="7">
        <v>1</v>
      </c>
      <c r="AO28" s="7">
        <v>1</v>
      </c>
      <c r="AP28" s="8">
        <v>0</v>
      </c>
      <c r="AQ28" s="8">
        <v>0</v>
      </c>
      <c r="AR28" s="8">
        <v>0</v>
      </c>
      <c r="AS28" s="8">
        <v>0</v>
      </c>
      <c r="AT28" s="7">
        <v>1</v>
      </c>
      <c r="AU28" s="7">
        <v>1</v>
      </c>
      <c r="AV28" s="7">
        <v>1</v>
      </c>
      <c r="AW28" s="8">
        <v>0</v>
      </c>
      <c r="AX28" s="7">
        <v>1</v>
      </c>
    </row>
    <row r="29" spans="1:50" ht="24.95">
      <c r="A29" s="4" t="s">
        <v>700</v>
      </c>
      <c r="B29" s="4" t="s">
        <v>701</v>
      </c>
      <c r="C29" s="4" t="s">
        <v>689</v>
      </c>
      <c r="D29" s="4" t="s">
        <v>690</v>
      </c>
      <c r="E29" s="4" t="s">
        <v>691</v>
      </c>
      <c r="F29" s="4" t="s">
        <v>609</v>
      </c>
      <c r="G29" s="4" t="s">
        <v>603</v>
      </c>
      <c r="H29" s="4" t="s">
        <v>702</v>
      </c>
      <c r="I29" s="4">
        <v>0</v>
      </c>
      <c r="J29" s="4">
        <v>0</v>
      </c>
      <c r="K29" s="14">
        <v>0.9</v>
      </c>
      <c r="L29" s="15">
        <v>250000</v>
      </c>
      <c r="M29" s="15">
        <f t="shared" si="0"/>
        <v>225000</v>
      </c>
      <c r="N29" s="16">
        <v>46295</v>
      </c>
      <c r="O29" s="4" t="s">
        <v>645</v>
      </c>
      <c r="P29" s="4" t="s">
        <v>665</v>
      </c>
      <c r="Q29" s="4" t="s">
        <v>703</v>
      </c>
      <c r="R29" s="4" t="s">
        <v>593</v>
      </c>
      <c r="S29" s="4" t="s">
        <v>633</v>
      </c>
      <c r="T29" s="4"/>
      <c r="U29" s="4" t="s">
        <v>618</v>
      </c>
      <c r="V29" s="16">
        <v>46247</v>
      </c>
      <c r="W29" s="4"/>
      <c r="X29" s="4"/>
      <c r="Y29" s="16"/>
      <c r="Z29" s="4"/>
      <c r="AA29" s="16"/>
      <c r="AB29" s="16">
        <v>46193</v>
      </c>
      <c r="AC29" s="17">
        <f>IF(I29=1,N29-AB29,Overview!$B$5-AB29)</f>
        <v>110</v>
      </c>
      <c r="AD29" s="4" t="s">
        <v>587</v>
      </c>
      <c r="AE29" s="8">
        <v>0</v>
      </c>
      <c r="AF29" s="8">
        <v>0</v>
      </c>
      <c r="AG29" s="8">
        <v>0</v>
      </c>
      <c r="AH29" s="8">
        <v>0</v>
      </c>
      <c r="AI29" s="7">
        <v>1</v>
      </c>
      <c r="AJ29" s="8">
        <v>0</v>
      </c>
      <c r="AK29" s="7">
        <v>1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7">
        <v>1</v>
      </c>
      <c r="AS29" s="8">
        <v>0</v>
      </c>
      <c r="AT29" s="7">
        <v>1</v>
      </c>
      <c r="AU29" s="8">
        <v>0</v>
      </c>
      <c r="AV29" s="8">
        <v>0</v>
      </c>
      <c r="AW29" s="8">
        <v>0</v>
      </c>
      <c r="AX29" s="8">
        <v>0</v>
      </c>
    </row>
    <row r="30" spans="1:50" ht="24.95">
      <c r="A30" s="4" t="s">
        <v>704</v>
      </c>
      <c r="B30" s="4" t="s">
        <v>705</v>
      </c>
      <c r="C30" s="4" t="s">
        <v>706</v>
      </c>
      <c r="D30" s="4" t="s">
        <v>707</v>
      </c>
      <c r="E30" s="4" t="s">
        <v>577</v>
      </c>
      <c r="F30" s="4" t="s">
        <v>609</v>
      </c>
      <c r="G30" s="4" t="s">
        <v>603</v>
      </c>
      <c r="H30" s="4" t="s">
        <v>276</v>
      </c>
      <c r="I30" s="4">
        <v>1</v>
      </c>
      <c r="J30" s="4">
        <v>1</v>
      </c>
      <c r="K30" s="14">
        <v>1</v>
      </c>
      <c r="L30" s="15">
        <v>1800000</v>
      </c>
      <c r="M30" s="15">
        <f t="shared" si="0"/>
        <v>1800000</v>
      </c>
      <c r="N30" s="16">
        <v>46297</v>
      </c>
      <c r="O30" s="4" t="s">
        <v>655</v>
      </c>
      <c r="P30" s="4" t="s">
        <v>665</v>
      </c>
      <c r="Q30" s="4" t="s">
        <v>351</v>
      </c>
      <c r="R30" s="4" t="s">
        <v>582</v>
      </c>
      <c r="S30" s="4" t="s">
        <v>639</v>
      </c>
      <c r="T30" s="4"/>
      <c r="U30" s="4" t="s">
        <v>595</v>
      </c>
      <c r="V30" s="16">
        <v>46267</v>
      </c>
      <c r="W30" s="4" t="s">
        <v>611</v>
      </c>
      <c r="X30" s="4" t="s">
        <v>612</v>
      </c>
      <c r="Y30" s="16"/>
      <c r="Z30" s="4"/>
      <c r="AA30" s="16"/>
      <c r="AB30" s="16">
        <v>46216</v>
      </c>
      <c r="AC30" s="17">
        <f>IF(I30=1,N30-AB30,Overview!$B$5-AB30)</f>
        <v>81</v>
      </c>
      <c r="AD30" s="4" t="s">
        <v>587</v>
      </c>
      <c r="AE30" s="7">
        <v>1</v>
      </c>
      <c r="AF30" s="7">
        <v>1</v>
      </c>
      <c r="AG30" s="7">
        <v>1</v>
      </c>
      <c r="AH30" s="7">
        <v>1</v>
      </c>
      <c r="AI30" s="8">
        <v>0</v>
      </c>
      <c r="AJ30" s="8">
        <v>0</v>
      </c>
      <c r="AK30" s="8">
        <v>0</v>
      </c>
      <c r="AL30" s="7">
        <v>1</v>
      </c>
      <c r="AM30" s="7">
        <v>1</v>
      </c>
      <c r="AN30" s="7">
        <v>1</v>
      </c>
      <c r="AO30" s="7">
        <v>1</v>
      </c>
      <c r="AP30" s="8">
        <v>0</v>
      </c>
      <c r="AQ30" s="8">
        <v>0</v>
      </c>
      <c r="AR30" s="8">
        <v>0</v>
      </c>
      <c r="AS30" s="8">
        <v>0</v>
      </c>
      <c r="AT30" s="7">
        <v>1</v>
      </c>
      <c r="AU30" s="7">
        <v>1</v>
      </c>
      <c r="AV30" s="7">
        <v>1</v>
      </c>
      <c r="AW30" s="8">
        <v>0</v>
      </c>
      <c r="AX30" s="7">
        <v>1</v>
      </c>
    </row>
    <row r="31" spans="1:50" ht="24.95">
      <c r="A31" s="4" t="s">
        <v>708</v>
      </c>
      <c r="B31" s="4" t="s">
        <v>709</v>
      </c>
      <c r="C31" s="4" t="s">
        <v>623</v>
      </c>
      <c r="D31" s="4" t="s">
        <v>624</v>
      </c>
      <c r="E31" s="4" t="s">
        <v>577</v>
      </c>
      <c r="F31" s="4" t="s">
        <v>602</v>
      </c>
      <c r="G31" s="4" t="s">
        <v>579</v>
      </c>
      <c r="H31" s="4" t="s">
        <v>276</v>
      </c>
      <c r="I31" s="4">
        <v>1</v>
      </c>
      <c r="J31" s="4">
        <v>1</v>
      </c>
      <c r="K31" s="14">
        <v>1</v>
      </c>
      <c r="L31" s="15">
        <v>950000</v>
      </c>
      <c r="M31" s="15">
        <f t="shared" si="0"/>
        <v>950000</v>
      </c>
      <c r="N31" s="16">
        <v>46301</v>
      </c>
      <c r="O31" s="4" t="s">
        <v>655</v>
      </c>
      <c r="P31" s="4" t="s">
        <v>665</v>
      </c>
      <c r="Q31" s="4" t="s">
        <v>351</v>
      </c>
      <c r="R31" s="4" t="s">
        <v>582</v>
      </c>
      <c r="S31" s="4" t="s">
        <v>639</v>
      </c>
      <c r="T31" s="4"/>
      <c r="U31" s="4" t="s">
        <v>584</v>
      </c>
      <c r="V31" s="16">
        <v>46271</v>
      </c>
      <c r="W31" s="4" t="s">
        <v>634</v>
      </c>
      <c r="X31" s="4" t="s">
        <v>635</v>
      </c>
      <c r="Y31" s="16"/>
      <c r="Z31" s="4"/>
      <c r="AA31" s="16"/>
      <c r="AB31" s="16">
        <v>46213</v>
      </c>
      <c r="AC31" s="17">
        <f>IF(I31=1,N31-AB31,Overview!$B$5-AB31)</f>
        <v>88</v>
      </c>
      <c r="AD31" s="4" t="s">
        <v>587</v>
      </c>
      <c r="AE31" s="7">
        <v>1</v>
      </c>
      <c r="AF31" s="7">
        <v>1</v>
      </c>
      <c r="AG31" s="7">
        <v>1</v>
      </c>
      <c r="AH31" s="7">
        <v>1</v>
      </c>
      <c r="AI31" s="8">
        <v>0</v>
      </c>
      <c r="AJ31" s="8">
        <v>0</v>
      </c>
      <c r="AK31" s="8">
        <v>0</v>
      </c>
      <c r="AL31" s="7">
        <v>1</v>
      </c>
      <c r="AM31" s="7">
        <v>1</v>
      </c>
      <c r="AN31" s="7">
        <v>1</v>
      </c>
      <c r="AO31" s="7">
        <v>1</v>
      </c>
      <c r="AP31" s="8">
        <v>0</v>
      </c>
      <c r="AQ31" s="8">
        <v>0</v>
      </c>
      <c r="AR31" s="8">
        <v>0</v>
      </c>
      <c r="AS31" s="8">
        <v>0</v>
      </c>
      <c r="AT31" s="7">
        <v>1</v>
      </c>
      <c r="AU31" s="7">
        <v>1</v>
      </c>
      <c r="AV31" s="7">
        <v>1</v>
      </c>
      <c r="AW31" s="8">
        <v>0</v>
      </c>
      <c r="AX31" s="7">
        <v>1</v>
      </c>
    </row>
    <row r="32" spans="1:50" ht="24.95">
      <c r="A32" s="4" t="s">
        <v>710</v>
      </c>
      <c r="B32" s="4" t="s">
        <v>677</v>
      </c>
      <c r="C32" s="4" t="s">
        <v>678</v>
      </c>
      <c r="D32" s="4" t="s">
        <v>679</v>
      </c>
      <c r="E32" s="4" t="s">
        <v>617</v>
      </c>
      <c r="F32" s="4" t="s">
        <v>602</v>
      </c>
      <c r="G32" s="4" t="s">
        <v>603</v>
      </c>
      <c r="H32" s="4" t="s">
        <v>702</v>
      </c>
      <c r="I32" s="4">
        <v>0</v>
      </c>
      <c r="J32" s="4">
        <v>0</v>
      </c>
      <c r="K32" s="14">
        <v>0.9</v>
      </c>
      <c r="L32" s="15">
        <v>1300000</v>
      </c>
      <c r="M32" s="15">
        <f t="shared" si="0"/>
        <v>1170000</v>
      </c>
      <c r="N32" s="16">
        <v>46315</v>
      </c>
      <c r="O32" s="4" t="s">
        <v>655</v>
      </c>
      <c r="P32" s="4" t="s">
        <v>665</v>
      </c>
      <c r="Q32" s="4" t="s">
        <v>703</v>
      </c>
      <c r="R32" s="4" t="s">
        <v>582</v>
      </c>
      <c r="S32" s="4" t="s">
        <v>639</v>
      </c>
      <c r="T32" s="4"/>
      <c r="U32" s="4" t="s">
        <v>640</v>
      </c>
      <c r="V32" s="16">
        <v>46285</v>
      </c>
      <c r="W32" s="4"/>
      <c r="X32" s="4"/>
      <c r="Y32" s="16"/>
      <c r="Z32" s="4"/>
      <c r="AA32" s="16"/>
      <c r="AB32" s="16">
        <v>46213</v>
      </c>
      <c r="AC32" s="17">
        <f>IF(I32=1,N32-AB32,Overview!$B$5-AB32)</f>
        <v>90</v>
      </c>
      <c r="AD32" s="4" t="s">
        <v>587</v>
      </c>
      <c r="AE32" s="8">
        <v>0</v>
      </c>
      <c r="AF32" s="8">
        <v>0</v>
      </c>
      <c r="AG32" s="8">
        <v>0</v>
      </c>
      <c r="AH32" s="8">
        <v>0</v>
      </c>
      <c r="AI32" s="7">
        <v>1</v>
      </c>
      <c r="AJ32" s="7">
        <v>1</v>
      </c>
      <c r="AK32" s="7">
        <v>1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7">
        <v>1</v>
      </c>
      <c r="AR32" s="8">
        <v>0</v>
      </c>
      <c r="AS32" s="8">
        <v>0</v>
      </c>
      <c r="AT32" s="7">
        <v>1</v>
      </c>
      <c r="AU32" s="8">
        <v>0</v>
      </c>
      <c r="AV32" s="8">
        <v>0</v>
      </c>
      <c r="AW32" s="8">
        <v>0</v>
      </c>
      <c r="AX32" s="8">
        <v>0</v>
      </c>
    </row>
    <row r="33" spans="1:50" ht="24.95">
      <c r="A33" s="4" t="s">
        <v>711</v>
      </c>
      <c r="B33" s="4" t="s">
        <v>712</v>
      </c>
      <c r="C33" s="4" t="s">
        <v>706</v>
      </c>
      <c r="D33" s="4" t="s">
        <v>707</v>
      </c>
      <c r="E33" s="4" t="s">
        <v>577</v>
      </c>
      <c r="F33" s="4" t="s">
        <v>609</v>
      </c>
      <c r="G33" s="4" t="s">
        <v>579</v>
      </c>
      <c r="H33" s="4" t="s">
        <v>713</v>
      </c>
      <c r="I33" s="4">
        <v>0</v>
      </c>
      <c r="J33" s="4">
        <v>0</v>
      </c>
      <c r="K33" s="14">
        <v>0.6</v>
      </c>
      <c r="L33" s="15">
        <v>1200000</v>
      </c>
      <c r="M33" s="15">
        <f t="shared" si="0"/>
        <v>720000</v>
      </c>
      <c r="N33" s="16">
        <v>46319</v>
      </c>
      <c r="O33" s="4" t="s">
        <v>655</v>
      </c>
      <c r="P33" s="4" t="s">
        <v>665</v>
      </c>
      <c r="Q33" s="4" t="s">
        <v>714</v>
      </c>
      <c r="R33" s="4" t="s">
        <v>593</v>
      </c>
      <c r="S33" s="4" t="s">
        <v>604</v>
      </c>
      <c r="T33" s="4"/>
      <c r="U33" s="4" t="s">
        <v>626</v>
      </c>
      <c r="V33" s="16">
        <v>46290</v>
      </c>
      <c r="W33" s="4"/>
      <c r="X33" s="4"/>
      <c r="Y33" s="16"/>
      <c r="Z33" s="4"/>
      <c r="AA33" s="16"/>
      <c r="AB33" s="16">
        <v>46219</v>
      </c>
      <c r="AC33" s="17">
        <f>IF(I33=1,N33-AB33,Overview!$B$5-AB33)</f>
        <v>84</v>
      </c>
      <c r="AD33" s="4" t="s">
        <v>587</v>
      </c>
      <c r="AE33" s="8">
        <v>0</v>
      </c>
      <c r="AF33" s="8">
        <v>0</v>
      </c>
      <c r="AG33" s="8">
        <v>0</v>
      </c>
      <c r="AH33" s="8">
        <v>0</v>
      </c>
      <c r="AI33" s="7">
        <v>1</v>
      </c>
      <c r="AJ33" s="7">
        <v>1</v>
      </c>
      <c r="AK33" s="7">
        <v>1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7">
        <v>1</v>
      </c>
      <c r="AR33" s="8">
        <v>0</v>
      </c>
      <c r="AS33" s="8">
        <v>0</v>
      </c>
      <c r="AT33" s="7">
        <v>1</v>
      </c>
      <c r="AU33" s="8">
        <v>0</v>
      </c>
      <c r="AV33" s="8">
        <v>0</v>
      </c>
      <c r="AW33" s="8">
        <v>0</v>
      </c>
      <c r="AX33" s="8">
        <v>0</v>
      </c>
    </row>
    <row r="34" spans="1:50" ht="24.95">
      <c r="A34" s="4" t="s">
        <v>715</v>
      </c>
      <c r="B34" s="4" t="s">
        <v>716</v>
      </c>
      <c r="C34" s="4" t="s">
        <v>706</v>
      </c>
      <c r="D34" s="4" t="s">
        <v>707</v>
      </c>
      <c r="E34" s="4" t="s">
        <v>577</v>
      </c>
      <c r="F34" s="4" t="s">
        <v>609</v>
      </c>
      <c r="G34" s="4" t="s">
        <v>650</v>
      </c>
      <c r="H34" s="4" t="s">
        <v>717</v>
      </c>
      <c r="I34" s="4">
        <v>0</v>
      </c>
      <c r="J34" s="4">
        <v>0</v>
      </c>
      <c r="K34" s="14">
        <v>0.2</v>
      </c>
      <c r="L34" s="15">
        <v>320000</v>
      </c>
      <c r="M34" s="15">
        <f t="shared" ref="M34:M65" si="1">L34*K34</f>
        <v>64000</v>
      </c>
      <c r="N34" s="16">
        <v>46319</v>
      </c>
      <c r="O34" s="4" t="s">
        <v>655</v>
      </c>
      <c r="P34" s="4" t="s">
        <v>665</v>
      </c>
      <c r="Q34" s="4" t="s">
        <v>697</v>
      </c>
      <c r="R34" s="4" t="s">
        <v>662</v>
      </c>
      <c r="S34" s="4" t="s">
        <v>639</v>
      </c>
      <c r="T34" s="4"/>
      <c r="U34" s="4" t="s">
        <v>584</v>
      </c>
      <c r="V34" s="16">
        <v>46285</v>
      </c>
      <c r="W34" s="4"/>
      <c r="X34" s="4"/>
      <c r="Y34" s="16"/>
      <c r="Z34" s="4"/>
      <c r="AA34" s="16"/>
      <c r="AB34" s="16">
        <v>46232</v>
      </c>
      <c r="AC34" s="17">
        <f>IF(I34=1,N34-AB34,Overview!$B$5-AB34)</f>
        <v>71</v>
      </c>
      <c r="AD34" s="4" t="s">
        <v>587</v>
      </c>
      <c r="AE34" s="8">
        <v>0</v>
      </c>
      <c r="AF34" s="8">
        <v>0</v>
      </c>
      <c r="AG34" s="8">
        <v>0</v>
      </c>
      <c r="AH34" s="8">
        <v>0</v>
      </c>
      <c r="AI34" s="7">
        <v>1</v>
      </c>
      <c r="AJ34" s="7">
        <v>1</v>
      </c>
      <c r="AK34" s="7">
        <v>1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7">
        <v>1</v>
      </c>
      <c r="AU34" s="8">
        <v>0</v>
      </c>
      <c r="AV34" s="8">
        <v>0</v>
      </c>
      <c r="AW34" s="8">
        <v>0</v>
      </c>
      <c r="AX34" s="8">
        <v>0</v>
      </c>
    </row>
    <row r="35" spans="1:50" ht="24.95">
      <c r="A35" s="4" t="s">
        <v>718</v>
      </c>
      <c r="B35" s="4" t="s">
        <v>719</v>
      </c>
      <c r="C35" s="4" t="s">
        <v>600</v>
      </c>
      <c r="D35" s="4" t="s">
        <v>601</v>
      </c>
      <c r="E35" s="4" t="s">
        <v>577</v>
      </c>
      <c r="F35" s="4" t="s">
        <v>602</v>
      </c>
      <c r="G35" s="4" t="s">
        <v>650</v>
      </c>
      <c r="H35" s="4" t="s">
        <v>720</v>
      </c>
      <c r="I35" s="4">
        <v>0</v>
      </c>
      <c r="J35" s="4">
        <v>0</v>
      </c>
      <c r="K35" s="14">
        <v>0.75</v>
      </c>
      <c r="L35" s="15">
        <v>2200000</v>
      </c>
      <c r="M35" s="15">
        <f t="shared" si="1"/>
        <v>1650000</v>
      </c>
      <c r="N35" s="16">
        <v>46325</v>
      </c>
      <c r="O35" s="4" t="s">
        <v>655</v>
      </c>
      <c r="P35" s="4" t="s">
        <v>665</v>
      </c>
      <c r="Q35" s="4" t="s">
        <v>703</v>
      </c>
      <c r="R35" s="4" t="s">
        <v>582</v>
      </c>
      <c r="S35" s="4" t="s">
        <v>639</v>
      </c>
      <c r="T35" s="4"/>
      <c r="U35" s="4" t="s">
        <v>626</v>
      </c>
      <c r="V35" s="16">
        <v>46295</v>
      </c>
      <c r="W35" s="4"/>
      <c r="X35" s="4"/>
      <c r="Y35" s="16"/>
      <c r="Z35" s="4"/>
      <c r="AA35" s="16"/>
      <c r="AB35" s="16">
        <v>46230</v>
      </c>
      <c r="AC35" s="17">
        <f>IF(I35=1,N35-AB35,Overview!$B$5-AB35)</f>
        <v>73</v>
      </c>
      <c r="AD35" s="4" t="s">
        <v>587</v>
      </c>
      <c r="AE35" s="8">
        <v>0</v>
      </c>
      <c r="AF35" s="8">
        <v>0</v>
      </c>
      <c r="AG35" s="8">
        <v>0</v>
      </c>
      <c r="AH35" s="8">
        <v>0</v>
      </c>
      <c r="AI35" s="7">
        <v>1</v>
      </c>
      <c r="AJ35" s="7">
        <v>1</v>
      </c>
      <c r="AK35" s="7">
        <v>1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7">
        <v>1</v>
      </c>
      <c r="AR35" s="8">
        <v>0</v>
      </c>
      <c r="AS35" s="8">
        <v>0</v>
      </c>
      <c r="AT35" s="7">
        <v>1</v>
      </c>
      <c r="AU35" s="8">
        <v>0</v>
      </c>
      <c r="AV35" s="8">
        <v>0</v>
      </c>
      <c r="AW35" s="8">
        <v>0</v>
      </c>
      <c r="AX35" s="8">
        <v>0</v>
      </c>
    </row>
    <row r="36" spans="1:50" ht="24.95">
      <c r="A36" s="4" t="s">
        <v>721</v>
      </c>
      <c r="B36" s="4" t="s">
        <v>675</v>
      </c>
      <c r="C36" s="4" t="s">
        <v>607</v>
      </c>
      <c r="D36" s="4" t="s">
        <v>608</v>
      </c>
      <c r="E36" s="4" t="s">
        <v>577</v>
      </c>
      <c r="F36" s="4" t="s">
        <v>609</v>
      </c>
      <c r="G36" s="4" t="s">
        <v>603</v>
      </c>
      <c r="H36" s="4" t="s">
        <v>713</v>
      </c>
      <c r="I36" s="4">
        <v>0</v>
      </c>
      <c r="J36" s="4">
        <v>0</v>
      </c>
      <c r="K36" s="14">
        <v>0.6</v>
      </c>
      <c r="L36" s="15">
        <v>250000</v>
      </c>
      <c r="M36" s="15">
        <f t="shared" si="1"/>
        <v>150000</v>
      </c>
      <c r="N36" s="16">
        <v>46334</v>
      </c>
      <c r="O36" s="4" t="s">
        <v>655</v>
      </c>
      <c r="P36" s="4" t="s">
        <v>665</v>
      </c>
      <c r="Q36" s="4" t="s">
        <v>714</v>
      </c>
      <c r="R36" s="4" t="s">
        <v>593</v>
      </c>
      <c r="S36" s="4" t="s">
        <v>583</v>
      </c>
      <c r="T36" s="4"/>
      <c r="U36" s="4" t="s">
        <v>640</v>
      </c>
      <c r="V36" s="16">
        <v>46294</v>
      </c>
      <c r="W36" s="4"/>
      <c r="X36" s="4"/>
      <c r="Y36" s="16"/>
      <c r="Z36" s="4"/>
      <c r="AA36" s="16"/>
      <c r="AB36" s="16">
        <v>46230</v>
      </c>
      <c r="AC36" s="17">
        <f>IF(I36=1,N36-AB36,Overview!$B$5-AB36)</f>
        <v>73</v>
      </c>
      <c r="AD36" s="4" t="s">
        <v>587</v>
      </c>
      <c r="AE36" s="8">
        <v>0</v>
      </c>
      <c r="AF36" s="8">
        <v>0</v>
      </c>
      <c r="AG36" s="8">
        <v>0</v>
      </c>
      <c r="AH36" s="8">
        <v>0</v>
      </c>
      <c r="AI36" s="7">
        <v>1</v>
      </c>
      <c r="AJ36" s="7">
        <v>1</v>
      </c>
      <c r="AK36" s="7">
        <v>1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7">
        <v>1</v>
      </c>
      <c r="AU36" s="8">
        <v>0</v>
      </c>
      <c r="AV36" s="8">
        <v>0</v>
      </c>
      <c r="AW36" s="8">
        <v>0</v>
      </c>
      <c r="AX36" s="8">
        <v>0</v>
      </c>
    </row>
    <row r="37" spans="1:50" ht="24.95">
      <c r="A37" s="4" t="s">
        <v>722</v>
      </c>
      <c r="B37" s="4" t="s">
        <v>723</v>
      </c>
      <c r="C37" s="4" t="s">
        <v>678</v>
      </c>
      <c r="D37" s="4" t="s">
        <v>679</v>
      </c>
      <c r="E37" s="4" t="s">
        <v>617</v>
      </c>
      <c r="F37" s="4" t="s">
        <v>602</v>
      </c>
      <c r="G37" s="4" t="s">
        <v>650</v>
      </c>
      <c r="H37" s="4" t="s">
        <v>724</v>
      </c>
      <c r="I37" s="4">
        <v>0</v>
      </c>
      <c r="J37" s="4">
        <v>0</v>
      </c>
      <c r="K37" s="14">
        <v>0.1</v>
      </c>
      <c r="L37" s="15">
        <v>3500000</v>
      </c>
      <c r="M37" s="15">
        <f t="shared" si="1"/>
        <v>350000</v>
      </c>
      <c r="N37" s="16">
        <v>46336</v>
      </c>
      <c r="O37" s="4" t="s">
        <v>655</v>
      </c>
      <c r="P37" s="4" t="s">
        <v>665</v>
      </c>
      <c r="Q37" s="4" t="s">
        <v>697</v>
      </c>
      <c r="R37" s="4" t="s">
        <v>582</v>
      </c>
      <c r="S37" s="4" t="s">
        <v>604</v>
      </c>
      <c r="T37" s="4"/>
      <c r="U37" s="4" t="s">
        <v>626</v>
      </c>
      <c r="V37" s="16">
        <v>46291</v>
      </c>
      <c r="W37" s="4"/>
      <c r="X37" s="4"/>
      <c r="Y37" s="16"/>
      <c r="Z37" s="4"/>
      <c r="AA37" s="16"/>
      <c r="AB37" s="16">
        <v>46234</v>
      </c>
      <c r="AC37" s="17">
        <f>IF(I37=1,N37-AB37,Overview!$B$5-AB37)</f>
        <v>69</v>
      </c>
      <c r="AD37" s="4" t="s">
        <v>587</v>
      </c>
      <c r="AE37" s="8">
        <v>0</v>
      </c>
      <c r="AF37" s="8">
        <v>0</v>
      </c>
      <c r="AG37" s="8">
        <v>0</v>
      </c>
      <c r="AH37" s="8">
        <v>0</v>
      </c>
      <c r="AI37" s="7">
        <v>1</v>
      </c>
      <c r="AJ37" s="7">
        <v>1</v>
      </c>
      <c r="AK37" s="7">
        <v>1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7">
        <v>1</v>
      </c>
      <c r="AU37" s="8">
        <v>0</v>
      </c>
      <c r="AV37" s="8">
        <v>0</v>
      </c>
      <c r="AW37" s="8">
        <v>0</v>
      </c>
      <c r="AX37" s="8">
        <v>0</v>
      </c>
    </row>
    <row r="38" spans="1:50" ht="24.95">
      <c r="A38" s="4" t="s">
        <v>725</v>
      </c>
      <c r="B38" s="4" t="s">
        <v>726</v>
      </c>
      <c r="C38" s="4" t="s">
        <v>631</v>
      </c>
      <c r="D38" s="4" t="s">
        <v>632</v>
      </c>
      <c r="E38" s="4" t="s">
        <v>577</v>
      </c>
      <c r="F38" s="4" t="s">
        <v>609</v>
      </c>
      <c r="G38" s="4" t="s">
        <v>579</v>
      </c>
      <c r="H38" s="4" t="s">
        <v>727</v>
      </c>
      <c r="I38" s="4">
        <v>0</v>
      </c>
      <c r="J38" s="4">
        <v>0</v>
      </c>
      <c r="K38" s="14">
        <v>0.4</v>
      </c>
      <c r="L38" s="15">
        <v>3000000</v>
      </c>
      <c r="M38" s="15">
        <f t="shared" si="1"/>
        <v>1200000</v>
      </c>
      <c r="N38" s="16">
        <v>46349</v>
      </c>
      <c r="O38" s="4" t="s">
        <v>655</v>
      </c>
      <c r="P38" s="4" t="s">
        <v>665</v>
      </c>
      <c r="Q38" s="4" t="s">
        <v>697</v>
      </c>
      <c r="R38" s="4" t="s">
        <v>662</v>
      </c>
      <c r="S38" s="4" t="s">
        <v>639</v>
      </c>
      <c r="T38" s="4"/>
      <c r="U38" s="4" t="s">
        <v>640</v>
      </c>
      <c r="V38" s="16">
        <v>46299</v>
      </c>
      <c r="W38" s="4"/>
      <c r="X38" s="4"/>
      <c r="Y38" s="16"/>
      <c r="Z38" s="4"/>
      <c r="AA38" s="16"/>
      <c r="AB38" s="16">
        <v>46253</v>
      </c>
      <c r="AC38" s="17">
        <f>IF(I38=1,N38-AB38,Overview!$B$5-AB38)</f>
        <v>50</v>
      </c>
      <c r="AD38" s="4" t="s">
        <v>587</v>
      </c>
      <c r="AE38" s="8">
        <v>0</v>
      </c>
      <c r="AF38" s="8">
        <v>0</v>
      </c>
      <c r="AG38" s="8">
        <v>0</v>
      </c>
      <c r="AH38" s="8">
        <v>0</v>
      </c>
      <c r="AI38" s="7">
        <v>1</v>
      </c>
      <c r="AJ38" s="7">
        <v>1</v>
      </c>
      <c r="AK38" s="7">
        <v>1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7">
        <v>1</v>
      </c>
      <c r="AU38" s="8">
        <v>0</v>
      </c>
      <c r="AV38" s="8">
        <v>0</v>
      </c>
      <c r="AW38" s="8">
        <v>0</v>
      </c>
      <c r="AX38" s="8">
        <v>0</v>
      </c>
    </row>
    <row r="39" spans="1:50" ht="24.95">
      <c r="A39" s="4" t="s">
        <v>728</v>
      </c>
      <c r="B39" s="4" t="s">
        <v>699</v>
      </c>
      <c r="C39" s="4" t="s">
        <v>648</v>
      </c>
      <c r="D39" s="4" t="s">
        <v>649</v>
      </c>
      <c r="E39" s="4" t="s">
        <v>577</v>
      </c>
      <c r="F39" s="4" t="s">
        <v>602</v>
      </c>
      <c r="G39" s="4" t="s">
        <v>650</v>
      </c>
      <c r="H39" s="4" t="s">
        <v>720</v>
      </c>
      <c r="I39" s="4">
        <v>0</v>
      </c>
      <c r="J39" s="4">
        <v>0</v>
      </c>
      <c r="K39" s="14">
        <v>0.75</v>
      </c>
      <c r="L39" s="15">
        <v>3500000</v>
      </c>
      <c r="M39" s="15">
        <f t="shared" si="1"/>
        <v>2625000</v>
      </c>
      <c r="N39" s="16">
        <v>46357</v>
      </c>
      <c r="O39" s="4" t="s">
        <v>655</v>
      </c>
      <c r="P39" s="4" t="s">
        <v>665</v>
      </c>
      <c r="Q39" s="4" t="s">
        <v>703</v>
      </c>
      <c r="R39" s="4" t="s">
        <v>638</v>
      </c>
      <c r="S39" s="4" t="s">
        <v>594</v>
      </c>
      <c r="T39" s="4"/>
      <c r="U39" s="4" t="s">
        <v>595</v>
      </c>
      <c r="V39" s="16">
        <v>46299</v>
      </c>
      <c r="W39" s="4"/>
      <c r="X39" s="4"/>
      <c r="Y39" s="16"/>
      <c r="Z39" s="4"/>
      <c r="AA39" s="16"/>
      <c r="AB39" s="16">
        <v>46232</v>
      </c>
      <c r="AC39" s="17">
        <f>IF(I39=1,N39-AB39,Overview!$B$5-AB39)</f>
        <v>71</v>
      </c>
      <c r="AD39" s="4" t="s">
        <v>587</v>
      </c>
      <c r="AE39" s="8">
        <v>0</v>
      </c>
      <c r="AF39" s="8">
        <v>0</v>
      </c>
      <c r="AG39" s="8">
        <v>0</v>
      </c>
      <c r="AH39" s="8">
        <v>0</v>
      </c>
      <c r="AI39" s="7">
        <v>1</v>
      </c>
      <c r="AJ39" s="7">
        <v>1</v>
      </c>
      <c r="AK39" s="7">
        <v>1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7">
        <v>1</v>
      </c>
      <c r="AU39" s="8">
        <v>0</v>
      </c>
      <c r="AV39" s="8">
        <v>0</v>
      </c>
      <c r="AW39" s="8">
        <v>0</v>
      </c>
      <c r="AX39" s="8">
        <v>0</v>
      </c>
    </row>
    <row r="40" spans="1:50" ht="24.95">
      <c r="A40" s="4" t="s">
        <v>729</v>
      </c>
      <c r="B40" s="4" t="s">
        <v>730</v>
      </c>
      <c r="C40" s="4" t="s">
        <v>678</v>
      </c>
      <c r="D40" s="4" t="s">
        <v>679</v>
      </c>
      <c r="E40" s="4" t="s">
        <v>617</v>
      </c>
      <c r="F40" s="4" t="s">
        <v>602</v>
      </c>
      <c r="G40" s="4" t="s">
        <v>650</v>
      </c>
      <c r="H40" s="4" t="s">
        <v>724</v>
      </c>
      <c r="I40" s="4">
        <v>0</v>
      </c>
      <c r="J40" s="4">
        <v>0</v>
      </c>
      <c r="K40" s="14">
        <v>0.1</v>
      </c>
      <c r="L40" s="15">
        <v>3000000</v>
      </c>
      <c r="M40" s="15">
        <f t="shared" si="1"/>
        <v>300000</v>
      </c>
      <c r="N40" s="16">
        <v>46366</v>
      </c>
      <c r="O40" s="4" t="s">
        <v>655</v>
      </c>
      <c r="P40" s="4" t="s">
        <v>665</v>
      </c>
      <c r="Q40" s="4" t="s">
        <v>697</v>
      </c>
      <c r="R40" s="4" t="s">
        <v>638</v>
      </c>
      <c r="S40" s="4" t="s">
        <v>594</v>
      </c>
      <c r="T40" s="4"/>
      <c r="U40" s="4" t="s">
        <v>618</v>
      </c>
      <c r="V40" s="16">
        <v>46317</v>
      </c>
      <c r="W40" s="4"/>
      <c r="X40" s="4"/>
      <c r="Y40" s="16"/>
      <c r="Z40" s="4"/>
      <c r="AA40" s="16"/>
      <c r="AB40" s="16">
        <v>46278</v>
      </c>
      <c r="AC40" s="17">
        <f>IF(I40=1,N40-AB40,Overview!$B$5-AB40)</f>
        <v>25</v>
      </c>
      <c r="AD40" s="4" t="s">
        <v>587</v>
      </c>
      <c r="AE40" s="8">
        <v>0</v>
      </c>
      <c r="AF40" s="8">
        <v>0</v>
      </c>
      <c r="AG40" s="8">
        <v>0</v>
      </c>
      <c r="AH40" s="8">
        <v>0</v>
      </c>
      <c r="AI40" s="7">
        <v>1</v>
      </c>
      <c r="AJ40" s="7">
        <v>1</v>
      </c>
      <c r="AK40" s="7">
        <v>1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7">
        <v>1</v>
      </c>
      <c r="AU40" s="8">
        <v>0</v>
      </c>
      <c r="AV40" s="8">
        <v>0</v>
      </c>
      <c r="AW40" s="7">
        <v>1</v>
      </c>
      <c r="AX40" s="8">
        <v>0</v>
      </c>
    </row>
    <row r="41" spans="1:50" ht="24.95">
      <c r="A41" s="4" t="s">
        <v>731</v>
      </c>
      <c r="B41" s="4" t="s">
        <v>732</v>
      </c>
      <c r="C41" s="4" t="s">
        <v>575</v>
      </c>
      <c r="D41" s="4" t="s">
        <v>576</v>
      </c>
      <c r="E41" s="4" t="s">
        <v>577</v>
      </c>
      <c r="F41" s="4" t="s">
        <v>578</v>
      </c>
      <c r="G41" s="4" t="s">
        <v>650</v>
      </c>
      <c r="H41" s="4" t="s">
        <v>696</v>
      </c>
      <c r="I41" s="4">
        <v>0</v>
      </c>
      <c r="J41" s="4">
        <v>0</v>
      </c>
      <c r="K41" s="14">
        <v>0.5</v>
      </c>
      <c r="L41" s="15">
        <v>1500000</v>
      </c>
      <c r="M41" s="15">
        <f t="shared" si="1"/>
        <v>750000</v>
      </c>
      <c r="N41" s="16">
        <v>46372</v>
      </c>
      <c r="O41" s="4" t="s">
        <v>655</v>
      </c>
      <c r="P41" s="4" t="s">
        <v>665</v>
      </c>
      <c r="Q41" s="4" t="s">
        <v>697</v>
      </c>
      <c r="R41" s="4" t="s">
        <v>593</v>
      </c>
      <c r="S41" s="4" t="s">
        <v>594</v>
      </c>
      <c r="T41" s="4"/>
      <c r="U41" s="4" t="s">
        <v>618</v>
      </c>
      <c r="V41" s="16">
        <v>46344</v>
      </c>
      <c r="W41" s="4"/>
      <c r="X41" s="4"/>
      <c r="Y41" s="16"/>
      <c r="Z41" s="4"/>
      <c r="AA41" s="16"/>
      <c r="AB41" s="16">
        <v>46291</v>
      </c>
      <c r="AC41" s="17">
        <f>IF(I41=1,N41-AB41,Overview!$B$5-AB41)</f>
        <v>12</v>
      </c>
      <c r="AD41" s="4" t="s">
        <v>587</v>
      </c>
      <c r="AE41" s="8">
        <v>0</v>
      </c>
      <c r="AF41" s="8">
        <v>0</v>
      </c>
      <c r="AG41" s="8">
        <v>0</v>
      </c>
      <c r="AH41" s="8">
        <v>0</v>
      </c>
      <c r="AI41" s="7">
        <v>1</v>
      </c>
      <c r="AJ41" s="7">
        <v>1</v>
      </c>
      <c r="AK41" s="7">
        <v>1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7">
        <v>1</v>
      </c>
      <c r="AU41" s="8">
        <v>0</v>
      </c>
      <c r="AV41" s="8">
        <v>0</v>
      </c>
      <c r="AW41" s="8">
        <v>0</v>
      </c>
      <c r="AX41" s="8">
        <v>0</v>
      </c>
    </row>
    <row r="42" spans="1:50" ht="24.95">
      <c r="A42" s="4" t="s">
        <v>733</v>
      </c>
      <c r="B42" s="4" t="s">
        <v>734</v>
      </c>
      <c r="C42" s="4" t="s">
        <v>735</v>
      </c>
      <c r="D42" s="4"/>
      <c r="E42" s="4"/>
      <c r="F42" s="4"/>
      <c r="G42" s="4" t="s">
        <v>579</v>
      </c>
      <c r="H42" s="4" t="s">
        <v>736</v>
      </c>
      <c r="I42" s="4">
        <v>0</v>
      </c>
      <c r="J42" s="4">
        <v>0</v>
      </c>
      <c r="K42" s="14">
        <v>0.1</v>
      </c>
      <c r="L42" s="15">
        <v>1000</v>
      </c>
      <c r="M42" s="15">
        <f t="shared" si="1"/>
        <v>100</v>
      </c>
      <c r="N42" s="16">
        <v>46387</v>
      </c>
      <c r="O42" s="4" t="s">
        <v>655</v>
      </c>
      <c r="P42" s="4" t="s">
        <v>665</v>
      </c>
      <c r="Q42" s="4" t="s">
        <v>697</v>
      </c>
      <c r="R42" s="4"/>
      <c r="S42" s="4"/>
      <c r="T42" s="4"/>
      <c r="U42" s="4"/>
      <c r="V42" s="16"/>
      <c r="W42" s="4"/>
      <c r="X42" s="4"/>
      <c r="Y42" s="16"/>
      <c r="Z42" s="4"/>
      <c r="AA42" s="16"/>
      <c r="AB42" s="16">
        <v>46303</v>
      </c>
      <c r="AC42" s="17">
        <f>IF(I42=1,N42-AB42,Overview!$B$5-AB42)</f>
        <v>0</v>
      </c>
      <c r="AD42" s="4" t="s">
        <v>737</v>
      </c>
      <c r="AE42" s="8">
        <v>0</v>
      </c>
      <c r="AF42" s="8">
        <v>0</v>
      </c>
      <c r="AG42" s="8">
        <v>0</v>
      </c>
      <c r="AH42" s="8">
        <v>0</v>
      </c>
      <c r="AI42" s="7">
        <v>1</v>
      </c>
      <c r="AJ42" s="7">
        <v>1</v>
      </c>
      <c r="AK42" s="7">
        <v>1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7">
        <v>1</v>
      </c>
      <c r="AU42" s="8">
        <v>0</v>
      </c>
      <c r="AV42" s="8">
        <v>0</v>
      </c>
      <c r="AW42" s="8">
        <v>0</v>
      </c>
      <c r="AX42" s="8">
        <v>0</v>
      </c>
    </row>
    <row r="43" spans="1:50">
      <c r="A43" s="4" t="s">
        <v>738</v>
      </c>
      <c r="B43" s="4" t="s">
        <v>739</v>
      </c>
      <c r="C43" s="4" t="s">
        <v>607</v>
      </c>
      <c r="D43" s="4" t="s">
        <v>608</v>
      </c>
      <c r="E43" s="4" t="s">
        <v>577</v>
      </c>
      <c r="F43" s="4" t="s">
        <v>609</v>
      </c>
      <c r="G43" s="4" t="s">
        <v>603</v>
      </c>
      <c r="H43" s="4" t="s">
        <v>702</v>
      </c>
      <c r="I43" s="4">
        <v>0</v>
      </c>
      <c r="J43" s="4">
        <v>0</v>
      </c>
      <c r="K43" s="14">
        <v>0.9</v>
      </c>
      <c r="L43" s="15">
        <v>1200000</v>
      </c>
      <c r="M43" s="15">
        <f t="shared" si="1"/>
        <v>1080000</v>
      </c>
      <c r="N43" s="16">
        <v>46398</v>
      </c>
      <c r="O43" s="4" t="s">
        <v>580</v>
      </c>
      <c r="P43" s="4" t="s">
        <v>740</v>
      </c>
      <c r="Q43" s="4" t="s">
        <v>703</v>
      </c>
      <c r="R43" s="4" t="s">
        <v>638</v>
      </c>
      <c r="S43" s="4" t="s">
        <v>633</v>
      </c>
      <c r="T43" s="4"/>
      <c r="U43" s="4" t="s">
        <v>595</v>
      </c>
      <c r="V43" s="16">
        <v>46373</v>
      </c>
      <c r="W43" s="4"/>
      <c r="X43" s="4"/>
      <c r="Y43" s="16"/>
      <c r="Z43" s="4"/>
      <c r="AA43" s="16"/>
      <c r="AB43" s="16">
        <v>46281</v>
      </c>
      <c r="AC43" s="17">
        <f>IF(I43=1,N43-AB43,Overview!$B$5-AB43)</f>
        <v>22</v>
      </c>
      <c r="AD43" s="4" t="s">
        <v>587</v>
      </c>
      <c r="AE43" s="8">
        <v>0</v>
      </c>
      <c r="AF43" s="8">
        <v>0</v>
      </c>
      <c r="AG43" s="8">
        <v>0</v>
      </c>
      <c r="AH43" s="8">
        <v>0</v>
      </c>
      <c r="AI43" s="7">
        <v>1</v>
      </c>
      <c r="AJ43" s="7">
        <v>1</v>
      </c>
      <c r="AK43" s="7">
        <v>1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</row>
    <row r="44" spans="1:50" ht="24.95">
      <c r="A44" s="4" t="s">
        <v>741</v>
      </c>
      <c r="B44" s="4" t="s">
        <v>742</v>
      </c>
      <c r="C44" s="4" t="s">
        <v>623</v>
      </c>
      <c r="D44" s="4" t="s">
        <v>624</v>
      </c>
      <c r="E44" s="4" t="s">
        <v>577</v>
      </c>
      <c r="F44" s="4" t="s">
        <v>602</v>
      </c>
      <c r="G44" s="4" t="s">
        <v>650</v>
      </c>
      <c r="H44" s="4" t="s">
        <v>727</v>
      </c>
      <c r="I44" s="4">
        <v>0</v>
      </c>
      <c r="J44" s="4">
        <v>0</v>
      </c>
      <c r="K44" s="14">
        <v>0.4</v>
      </c>
      <c r="L44" s="15">
        <v>450000</v>
      </c>
      <c r="M44" s="15">
        <f t="shared" si="1"/>
        <v>180000</v>
      </c>
      <c r="N44" s="16">
        <v>46409</v>
      </c>
      <c r="O44" s="4" t="s">
        <v>580</v>
      </c>
      <c r="P44" s="4" t="s">
        <v>740</v>
      </c>
      <c r="Q44" s="4" t="s">
        <v>697</v>
      </c>
      <c r="R44" s="4" t="s">
        <v>582</v>
      </c>
      <c r="S44" s="4" t="s">
        <v>583</v>
      </c>
      <c r="T44" s="4"/>
      <c r="U44" s="4" t="s">
        <v>640</v>
      </c>
      <c r="V44" s="16">
        <v>46354</v>
      </c>
      <c r="W44" s="4"/>
      <c r="X44" s="4"/>
      <c r="Y44" s="16"/>
      <c r="Z44" s="4"/>
      <c r="AA44" s="16"/>
      <c r="AB44" s="16">
        <v>46286</v>
      </c>
      <c r="AC44" s="17">
        <f>IF(I44=1,N44-AB44,Overview!$B$5-AB44)</f>
        <v>17</v>
      </c>
      <c r="AD44" s="4" t="s">
        <v>587</v>
      </c>
      <c r="AE44" s="8">
        <v>0</v>
      </c>
      <c r="AF44" s="8">
        <v>0</v>
      </c>
      <c r="AG44" s="8">
        <v>0</v>
      </c>
      <c r="AH44" s="8">
        <v>0</v>
      </c>
      <c r="AI44" s="7">
        <v>1</v>
      </c>
      <c r="AJ44" s="7">
        <v>1</v>
      </c>
      <c r="AK44" s="7">
        <v>1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</row>
    <row r="45" spans="1:50" ht="24.95">
      <c r="A45" s="4" t="s">
        <v>743</v>
      </c>
      <c r="B45" s="4" t="s">
        <v>744</v>
      </c>
      <c r="C45" s="4" t="s">
        <v>678</v>
      </c>
      <c r="D45" s="4" t="s">
        <v>679</v>
      </c>
      <c r="E45" s="4" t="s">
        <v>617</v>
      </c>
      <c r="F45" s="4" t="s">
        <v>602</v>
      </c>
      <c r="G45" s="4" t="s">
        <v>579</v>
      </c>
      <c r="H45" s="4" t="s">
        <v>303</v>
      </c>
      <c r="I45" s="4">
        <v>0</v>
      </c>
      <c r="J45" s="4">
        <v>0</v>
      </c>
      <c r="K45" s="14">
        <v>0</v>
      </c>
      <c r="L45" s="15">
        <v>3500000</v>
      </c>
      <c r="M45" s="15">
        <f t="shared" si="1"/>
        <v>0</v>
      </c>
      <c r="N45" s="16">
        <v>46411</v>
      </c>
      <c r="O45" s="4" t="s">
        <v>580</v>
      </c>
      <c r="P45" s="4" t="s">
        <v>740</v>
      </c>
      <c r="Q45" s="4" t="s">
        <v>592</v>
      </c>
      <c r="R45" s="4" t="s">
        <v>582</v>
      </c>
      <c r="S45" s="4" t="s">
        <v>604</v>
      </c>
      <c r="T45" s="4"/>
      <c r="U45" s="4" t="s">
        <v>640</v>
      </c>
      <c r="V45" s="16">
        <v>46362</v>
      </c>
      <c r="W45" s="4"/>
      <c r="X45" s="4" t="s">
        <v>745</v>
      </c>
      <c r="Y45" s="16">
        <v>46302</v>
      </c>
      <c r="Z45" s="4"/>
      <c r="AA45" s="16"/>
      <c r="AB45" s="16">
        <v>46266</v>
      </c>
      <c r="AC45" s="17">
        <f>IF(I45=1,N45-AB45,Overview!$B$5-AB45)</f>
        <v>37</v>
      </c>
      <c r="AD45" s="4" t="s">
        <v>587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7">
        <v>1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</row>
    <row r="46" spans="1:50" ht="24.95">
      <c r="A46" s="4" t="s">
        <v>746</v>
      </c>
      <c r="B46" s="4" t="s">
        <v>747</v>
      </c>
      <c r="C46" s="4" t="s">
        <v>623</v>
      </c>
      <c r="D46" s="4" t="s">
        <v>624</v>
      </c>
      <c r="E46" s="4" t="s">
        <v>577</v>
      </c>
      <c r="F46" s="4" t="s">
        <v>602</v>
      </c>
      <c r="G46" s="4" t="s">
        <v>650</v>
      </c>
      <c r="H46" s="4" t="s">
        <v>727</v>
      </c>
      <c r="I46" s="4">
        <v>0</v>
      </c>
      <c r="J46" s="4">
        <v>0</v>
      </c>
      <c r="K46" s="14">
        <v>0.4</v>
      </c>
      <c r="L46" s="15">
        <v>150000</v>
      </c>
      <c r="M46" s="15">
        <f t="shared" si="1"/>
        <v>60000</v>
      </c>
      <c r="N46" s="16">
        <v>46413</v>
      </c>
      <c r="O46" s="4" t="s">
        <v>580</v>
      </c>
      <c r="P46" s="4" t="s">
        <v>740</v>
      </c>
      <c r="Q46" s="4" t="s">
        <v>697</v>
      </c>
      <c r="R46" s="4" t="s">
        <v>638</v>
      </c>
      <c r="S46" s="4" t="s">
        <v>604</v>
      </c>
      <c r="T46" s="4"/>
      <c r="U46" s="4" t="s">
        <v>584</v>
      </c>
      <c r="V46" s="16">
        <v>46370</v>
      </c>
      <c r="W46" s="4"/>
      <c r="X46" s="4"/>
      <c r="Y46" s="16"/>
      <c r="Z46" s="4"/>
      <c r="AA46" s="16"/>
      <c r="AB46" s="16">
        <v>46296</v>
      </c>
      <c r="AC46" s="17">
        <f>IF(I46=1,N46-AB46,Overview!$B$5-AB46)</f>
        <v>7</v>
      </c>
      <c r="AD46" s="4" t="s">
        <v>587</v>
      </c>
      <c r="AE46" s="8">
        <v>0</v>
      </c>
      <c r="AF46" s="8">
        <v>0</v>
      </c>
      <c r="AG46" s="8">
        <v>0</v>
      </c>
      <c r="AH46" s="8">
        <v>0</v>
      </c>
      <c r="AI46" s="7">
        <v>1</v>
      </c>
      <c r="AJ46" s="7">
        <v>1</v>
      </c>
      <c r="AK46" s="7">
        <v>1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</row>
    <row r="47" spans="1:50" ht="24.95">
      <c r="A47" s="4" t="s">
        <v>748</v>
      </c>
      <c r="B47" s="4" t="s">
        <v>749</v>
      </c>
      <c r="C47" s="4" t="s">
        <v>607</v>
      </c>
      <c r="D47" s="4" t="s">
        <v>608</v>
      </c>
      <c r="E47" s="4" t="s">
        <v>577</v>
      </c>
      <c r="F47" s="4" t="s">
        <v>609</v>
      </c>
      <c r="G47" s="4" t="s">
        <v>603</v>
      </c>
      <c r="H47" s="4" t="s">
        <v>713</v>
      </c>
      <c r="I47" s="4">
        <v>0</v>
      </c>
      <c r="J47" s="4">
        <v>0</v>
      </c>
      <c r="K47" s="14">
        <v>0.6</v>
      </c>
      <c r="L47" s="15">
        <v>3500000</v>
      </c>
      <c r="M47" s="15">
        <f t="shared" si="1"/>
        <v>2100000</v>
      </c>
      <c r="N47" s="16">
        <v>46437</v>
      </c>
      <c r="O47" s="4" t="s">
        <v>580</v>
      </c>
      <c r="P47" s="4" t="s">
        <v>740</v>
      </c>
      <c r="Q47" s="4" t="s">
        <v>714</v>
      </c>
      <c r="R47" s="4" t="s">
        <v>662</v>
      </c>
      <c r="S47" s="4" t="s">
        <v>633</v>
      </c>
      <c r="T47" s="4"/>
      <c r="U47" s="4" t="s">
        <v>584</v>
      </c>
      <c r="V47" s="16">
        <v>46377</v>
      </c>
      <c r="W47" s="4"/>
      <c r="X47" s="4"/>
      <c r="Y47" s="16"/>
      <c r="Z47" s="4"/>
      <c r="AA47" s="16"/>
      <c r="AB47" s="16">
        <v>46296</v>
      </c>
      <c r="AC47" s="17">
        <f>IF(I47=1,N47-AB47,Overview!$B$5-AB47)</f>
        <v>7</v>
      </c>
      <c r="AD47" s="4" t="s">
        <v>587</v>
      </c>
      <c r="AE47" s="8">
        <v>0</v>
      </c>
      <c r="AF47" s="8">
        <v>0</v>
      </c>
      <c r="AG47" s="8">
        <v>0</v>
      </c>
      <c r="AH47" s="8">
        <v>0</v>
      </c>
      <c r="AI47" s="7">
        <v>1</v>
      </c>
      <c r="AJ47" s="7">
        <v>1</v>
      </c>
      <c r="AK47" s="7">
        <v>1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</row>
    <row r="48" spans="1:50" ht="24.95">
      <c r="A48" s="4" t="s">
        <v>750</v>
      </c>
      <c r="B48" s="4" t="s">
        <v>751</v>
      </c>
      <c r="C48" s="4" t="s">
        <v>607</v>
      </c>
      <c r="D48" s="4" t="s">
        <v>608</v>
      </c>
      <c r="E48" s="4" t="s">
        <v>577</v>
      </c>
      <c r="F48" s="4" t="s">
        <v>609</v>
      </c>
      <c r="G48" s="4" t="s">
        <v>650</v>
      </c>
      <c r="H48" s="4" t="s">
        <v>717</v>
      </c>
      <c r="I48" s="4">
        <v>0</v>
      </c>
      <c r="J48" s="4">
        <v>0</v>
      </c>
      <c r="K48" s="14">
        <v>0.2</v>
      </c>
      <c r="L48" s="15">
        <v>1500000</v>
      </c>
      <c r="M48" s="15">
        <f t="shared" si="1"/>
        <v>300000</v>
      </c>
      <c r="N48" s="16">
        <v>46446</v>
      </c>
      <c r="O48" s="4" t="s">
        <v>580</v>
      </c>
      <c r="P48" s="4" t="s">
        <v>740</v>
      </c>
      <c r="Q48" s="4" t="s">
        <v>697</v>
      </c>
      <c r="R48" s="4" t="s">
        <v>582</v>
      </c>
      <c r="S48" s="4" t="s">
        <v>594</v>
      </c>
      <c r="T48" s="4"/>
      <c r="U48" s="4" t="s">
        <v>626</v>
      </c>
      <c r="V48" s="16">
        <v>46393</v>
      </c>
      <c r="W48" s="4"/>
      <c r="X48" s="4"/>
      <c r="Y48" s="16"/>
      <c r="Z48" s="4"/>
      <c r="AA48" s="16"/>
      <c r="AB48" s="16">
        <v>46261</v>
      </c>
      <c r="AC48" s="17">
        <f>IF(I48=1,N48-AB48,Overview!$B$5-AB48)</f>
        <v>42</v>
      </c>
      <c r="AD48" s="4" t="s">
        <v>587</v>
      </c>
      <c r="AE48" s="8">
        <v>0</v>
      </c>
      <c r="AF48" s="8">
        <v>0</v>
      </c>
      <c r="AG48" s="8">
        <v>0</v>
      </c>
      <c r="AH48" s="8">
        <v>0</v>
      </c>
      <c r="AI48" s="7">
        <v>1</v>
      </c>
      <c r="AJ48" s="7">
        <v>1</v>
      </c>
      <c r="AK48" s="7">
        <v>1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</row>
    <row r="49" spans="1:50" ht="24.95">
      <c r="A49" s="4" t="s">
        <v>752</v>
      </c>
      <c r="B49" s="4" t="s">
        <v>753</v>
      </c>
      <c r="C49" s="4" t="s">
        <v>623</v>
      </c>
      <c r="D49" s="4" t="s">
        <v>624</v>
      </c>
      <c r="E49" s="4" t="s">
        <v>577</v>
      </c>
      <c r="F49" s="4" t="s">
        <v>602</v>
      </c>
      <c r="G49" s="4" t="s">
        <v>603</v>
      </c>
      <c r="H49" s="4" t="s">
        <v>303</v>
      </c>
      <c r="I49" s="4">
        <v>0</v>
      </c>
      <c r="J49" s="4">
        <v>0</v>
      </c>
      <c r="K49" s="14">
        <v>0</v>
      </c>
      <c r="L49" s="15">
        <v>750000</v>
      </c>
      <c r="M49" s="15">
        <f t="shared" si="1"/>
        <v>0</v>
      </c>
      <c r="N49" s="16">
        <v>46449</v>
      </c>
      <c r="O49" s="4" t="s">
        <v>580</v>
      </c>
      <c r="P49" s="4" t="s">
        <v>740</v>
      </c>
      <c r="Q49" s="4" t="s">
        <v>592</v>
      </c>
      <c r="R49" s="4" t="s">
        <v>593</v>
      </c>
      <c r="S49" s="4" t="s">
        <v>604</v>
      </c>
      <c r="T49" s="4"/>
      <c r="U49" s="4" t="s">
        <v>618</v>
      </c>
      <c r="V49" s="16">
        <v>46401</v>
      </c>
      <c r="W49" s="4"/>
      <c r="X49" s="4" t="s">
        <v>745</v>
      </c>
      <c r="Y49" s="16">
        <v>46302</v>
      </c>
      <c r="Z49" s="4"/>
      <c r="AA49" s="16"/>
      <c r="AB49" s="16">
        <v>46271</v>
      </c>
      <c r="AC49" s="17">
        <f>IF(I49=1,N49-AB49,Overview!$B$5-AB49)</f>
        <v>32</v>
      </c>
      <c r="AD49" s="4" t="s">
        <v>587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7">
        <v>1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</row>
    <row r="50" spans="1:50" ht="24.95">
      <c r="A50" s="4" t="s">
        <v>754</v>
      </c>
      <c r="B50" s="4" t="s">
        <v>755</v>
      </c>
      <c r="C50" s="4" t="s">
        <v>678</v>
      </c>
      <c r="D50" s="4" t="s">
        <v>679</v>
      </c>
      <c r="E50" s="4" t="s">
        <v>617</v>
      </c>
      <c r="F50" s="4" t="s">
        <v>602</v>
      </c>
      <c r="G50" s="4" t="s">
        <v>579</v>
      </c>
      <c r="H50" s="4" t="s">
        <v>303</v>
      </c>
      <c r="I50" s="4">
        <v>0</v>
      </c>
      <c r="J50" s="4">
        <v>0</v>
      </c>
      <c r="K50" s="14">
        <v>0</v>
      </c>
      <c r="L50" s="15">
        <v>3500000</v>
      </c>
      <c r="M50" s="15">
        <f t="shared" si="1"/>
        <v>0</v>
      </c>
      <c r="N50" s="16">
        <v>46450</v>
      </c>
      <c r="O50" s="4" t="s">
        <v>580</v>
      </c>
      <c r="P50" s="4" t="s">
        <v>740</v>
      </c>
      <c r="Q50" s="4" t="s">
        <v>592</v>
      </c>
      <c r="R50" s="4" t="s">
        <v>638</v>
      </c>
      <c r="S50" s="4" t="s">
        <v>639</v>
      </c>
      <c r="T50" s="4"/>
      <c r="U50" s="4" t="s">
        <v>584</v>
      </c>
      <c r="V50" s="16">
        <v>46400</v>
      </c>
      <c r="W50" s="4"/>
      <c r="X50" s="4" t="s">
        <v>745</v>
      </c>
      <c r="Y50" s="16">
        <v>46302</v>
      </c>
      <c r="Z50" s="4"/>
      <c r="AA50" s="16"/>
      <c r="AB50" s="16">
        <v>46281</v>
      </c>
      <c r="AC50" s="17">
        <f>IF(I50=1,N50-AB50,Overview!$B$5-AB50)</f>
        <v>22</v>
      </c>
      <c r="AD50" s="4" t="s">
        <v>587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7">
        <v>1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</row>
    <row r="51" spans="1:50" ht="24.95">
      <c r="A51" s="4" t="s">
        <v>756</v>
      </c>
      <c r="B51" s="4" t="s">
        <v>757</v>
      </c>
      <c r="C51" s="4" t="s">
        <v>615</v>
      </c>
      <c r="D51" s="4" t="s">
        <v>616</v>
      </c>
      <c r="E51" s="4" t="s">
        <v>617</v>
      </c>
      <c r="F51" s="4" t="s">
        <v>609</v>
      </c>
      <c r="G51" s="4" t="s">
        <v>603</v>
      </c>
      <c r="H51" s="4" t="s">
        <v>303</v>
      </c>
      <c r="I51" s="4">
        <v>0</v>
      </c>
      <c r="J51" s="4">
        <v>0</v>
      </c>
      <c r="K51" s="14">
        <v>0</v>
      </c>
      <c r="L51" s="15">
        <v>250000</v>
      </c>
      <c r="M51" s="15">
        <f t="shared" si="1"/>
        <v>0</v>
      </c>
      <c r="N51" s="16">
        <v>46459</v>
      </c>
      <c r="O51" s="4" t="s">
        <v>580</v>
      </c>
      <c r="P51" s="4" t="s">
        <v>740</v>
      </c>
      <c r="Q51" s="4" t="s">
        <v>592</v>
      </c>
      <c r="R51" s="4" t="s">
        <v>625</v>
      </c>
      <c r="S51" s="4" t="s">
        <v>660</v>
      </c>
      <c r="T51" s="4"/>
      <c r="U51" s="4" t="s">
        <v>626</v>
      </c>
      <c r="V51" s="16">
        <v>46420</v>
      </c>
      <c r="W51" s="4"/>
      <c r="X51" s="4" t="s">
        <v>745</v>
      </c>
      <c r="Y51" s="16">
        <v>46302</v>
      </c>
      <c r="Z51" s="4"/>
      <c r="AA51" s="16"/>
      <c r="AB51" s="16">
        <v>46261</v>
      </c>
      <c r="AC51" s="17">
        <f>IF(I51=1,N51-AB51,Overview!$B$5-AB51)</f>
        <v>42</v>
      </c>
      <c r="AD51" s="4" t="s">
        <v>587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7">
        <v>1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</row>
    <row r="52" spans="1:50" ht="24.95">
      <c r="A52" s="4" t="s">
        <v>758</v>
      </c>
      <c r="B52" s="4" t="s">
        <v>759</v>
      </c>
      <c r="C52" s="4" t="s">
        <v>631</v>
      </c>
      <c r="D52" s="4" t="s">
        <v>632</v>
      </c>
      <c r="E52" s="4" t="s">
        <v>577</v>
      </c>
      <c r="F52" s="4" t="s">
        <v>609</v>
      </c>
      <c r="G52" s="4" t="s">
        <v>650</v>
      </c>
      <c r="H52" s="4" t="s">
        <v>696</v>
      </c>
      <c r="I52" s="4">
        <v>0</v>
      </c>
      <c r="J52" s="4">
        <v>0</v>
      </c>
      <c r="K52" s="14">
        <v>0.5</v>
      </c>
      <c r="L52" s="15">
        <v>2200000</v>
      </c>
      <c r="M52" s="15">
        <f t="shared" si="1"/>
        <v>1100000</v>
      </c>
      <c r="N52" s="16">
        <v>46484</v>
      </c>
      <c r="O52" s="4" t="s">
        <v>610</v>
      </c>
      <c r="P52" s="4" t="s">
        <v>740</v>
      </c>
      <c r="Q52" s="4" t="s">
        <v>697</v>
      </c>
      <c r="R52" s="4" t="s">
        <v>582</v>
      </c>
      <c r="S52" s="4" t="s">
        <v>633</v>
      </c>
      <c r="T52" s="4"/>
      <c r="U52" s="4" t="s">
        <v>626</v>
      </c>
      <c r="V52" s="16">
        <v>46450</v>
      </c>
      <c r="W52" s="4"/>
      <c r="X52" s="4"/>
      <c r="Y52" s="16"/>
      <c r="Z52" s="4"/>
      <c r="AA52" s="16"/>
      <c r="AB52" s="16">
        <v>46266</v>
      </c>
      <c r="AC52" s="17">
        <f>IF(I52=1,N52-AB52,Overview!$B$5-AB52)</f>
        <v>37</v>
      </c>
      <c r="AD52" s="4" t="s">
        <v>587</v>
      </c>
      <c r="AE52" s="8">
        <v>0</v>
      </c>
      <c r="AF52" s="8">
        <v>0</v>
      </c>
      <c r="AG52" s="8">
        <v>0</v>
      </c>
      <c r="AH52" s="8">
        <v>0</v>
      </c>
      <c r="AI52" s="7">
        <v>1</v>
      </c>
      <c r="AJ52" s="7">
        <v>1</v>
      </c>
      <c r="AK52" s="7">
        <v>1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</row>
    <row r="53" spans="1:50" ht="24.95">
      <c r="A53" s="4" t="s">
        <v>760</v>
      </c>
      <c r="B53" s="4" t="s">
        <v>761</v>
      </c>
      <c r="C53" s="4" t="s">
        <v>689</v>
      </c>
      <c r="D53" s="4" t="s">
        <v>690</v>
      </c>
      <c r="E53" s="4" t="s">
        <v>691</v>
      </c>
      <c r="F53" s="4" t="s">
        <v>609</v>
      </c>
      <c r="G53" s="4" t="s">
        <v>650</v>
      </c>
      <c r="H53" s="4" t="s">
        <v>696</v>
      </c>
      <c r="I53" s="4">
        <v>0</v>
      </c>
      <c r="J53" s="4">
        <v>0</v>
      </c>
      <c r="K53" s="14">
        <v>0.5</v>
      </c>
      <c r="L53" s="15">
        <v>1500000</v>
      </c>
      <c r="M53" s="15">
        <f t="shared" si="1"/>
        <v>750000</v>
      </c>
      <c r="N53" s="16">
        <v>46561</v>
      </c>
      <c r="O53" s="4" t="s">
        <v>610</v>
      </c>
      <c r="P53" s="4" t="s">
        <v>740</v>
      </c>
      <c r="Q53" s="4" t="s">
        <v>697</v>
      </c>
      <c r="R53" s="4" t="s">
        <v>638</v>
      </c>
      <c r="S53" s="4" t="s">
        <v>604</v>
      </c>
      <c r="T53" s="4"/>
      <c r="U53" s="4" t="s">
        <v>626</v>
      </c>
      <c r="V53" s="16">
        <v>46528</v>
      </c>
      <c r="W53" s="4"/>
      <c r="X53" s="4"/>
      <c r="Y53" s="16"/>
      <c r="Z53" s="4"/>
      <c r="AA53" s="16"/>
      <c r="AB53" s="16">
        <v>46286</v>
      </c>
      <c r="AC53" s="17">
        <f>IF(I53=1,N53-AB53,Overview!$B$5-AB53)</f>
        <v>17</v>
      </c>
      <c r="AD53" s="4" t="s">
        <v>587</v>
      </c>
      <c r="AE53" s="8">
        <v>0</v>
      </c>
      <c r="AF53" s="8">
        <v>0</v>
      </c>
      <c r="AG53" s="8">
        <v>0</v>
      </c>
      <c r="AH53" s="8">
        <v>0</v>
      </c>
      <c r="AI53" s="7">
        <v>1</v>
      </c>
      <c r="AJ53" s="7">
        <v>1</v>
      </c>
      <c r="AK53" s="7">
        <v>1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</row>
    <row r="54" spans="1:50" ht="24.95">
      <c r="A54" s="4" t="s">
        <v>762</v>
      </c>
      <c r="B54" s="4" t="s">
        <v>747</v>
      </c>
      <c r="C54" s="4" t="s">
        <v>623</v>
      </c>
      <c r="D54" s="4" t="s">
        <v>624</v>
      </c>
      <c r="E54" s="4" t="s">
        <v>577</v>
      </c>
      <c r="F54" s="4" t="s">
        <v>602</v>
      </c>
      <c r="G54" s="4" t="s">
        <v>579</v>
      </c>
      <c r="H54" s="4" t="s">
        <v>303</v>
      </c>
      <c r="I54" s="4">
        <v>0</v>
      </c>
      <c r="J54" s="4">
        <v>0</v>
      </c>
      <c r="K54" s="14">
        <v>0</v>
      </c>
      <c r="L54" s="15">
        <v>3500000</v>
      </c>
      <c r="M54" s="15">
        <f t="shared" si="1"/>
        <v>0</v>
      </c>
      <c r="N54" s="16">
        <v>46622</v>
      </c>
      <c r="O54" s="4" t="s">
        <v>645</v>
      </c>
      <c r="P54" s="4" t="s">
        <v>740</v>
      </c>
      <c r="Q54" s="4" t="s">
        <v>592</v>
      </c>
      <c r="R54" s="4" t="s">
        <v>593</v>
      </c>
      <c r="S54" s="4" t="s">
        <v>594</v>
      </c>
      <c r="T54" s="4"/>
      <c r="U54" s="4" t="s">
        <v>584</v>
      </c>
      <c r="V54" s="16">
        <v>46565</v>
      </c>
      <c r="W54" s="4"/>
      <c r="X54" s="4" t="s">
        <v>745</v>
      </c>
      <c r="Y54" s="16">
        <v>46302</v>
      </c>
      <c r="Z54" s="4"/>
      <c r="AA54" s="16"/>
      <c r="AB54" s="16">
        <v>46276</v>
      </c>
      <c r="AC54" s="17">
        <f>IF(I54=1,N54-AB54,Overview!$B$5-AB54)</f>
        <v>27</v>
      </c>
      <c r="AD54" s="4" t="s">
        <v>587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7">
        <v>1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3"/>
  <sheetViews>
    <sheetView zoomScale="90" workbookViewId="0">
      <pane xSplit="2" ySplit="1" topLeftCell="C2" activePane="bottomRight" state="frozen"/>
      <selection pane="bottomRight"/>
      <selection pane="bottomLeft"/>
      <selection pane="topRight"/>
    </sheetView>
  </sheetViews>
  <sheetFormatPr defaultRowHeight="14.45"/>
  <cols>
    <col min="1" max="1" width="9" customWidth="1"/>
    <col min="2" max="2" width="38" customWidth="1"/>
    <col min="3" max="3" width="11" customWidth="1"/>
    <col min="4" max="5" width="15" customWidth="1"/>
    <col min="6" max="8" width="9" customWidth="1"/>
    <col min="9" max="9" width="14" customWidth="1"/>
    <col min="10" max="11" width="12" customWidth="1"/>
    <col min="12" max="12" width="11" customWidth="1"/>
    <col min="13" max="13" width="40" customWidth="1"/>
  </cols>
  <sheetData>
    <row r="1" spans="1:13" ht="30" customHeight="1">
      <c r="A1" s="3" t="s">
        <v>43</v>
      </c>
      <c r="B1" s="3" t="s">
        <v>44</v>
      </c>
      <c r="C1" s="3" t="s">
        <v>763</v>
      </c>
      <c r="D1" s="3" t="s">
        <v>460</v>
      </c>
      <c r="E1" s="3" t="s">
        <v>764</v>
      </c>
      <c r="F1" s="3" t="s">
        <v>765</v>
      </c>
      <c r="G1" s="3" t="s">
        <v>766</v>
      </c>
      <c r="H1" s="3" t="s">
        <v>767</v>
      </c>
      <c r="I1" s="3" t="s">
        <v>768</v>
      </c>
      <c r="J1" s="3" t="s">
        <v>769</v>
      </c>
      <c r="K1" s="3" t="s">
        <v>770</v>
      </c>
      <c r="L1" s="3" t="s">
        <v>771</v>
      </c>
      <c r="M1" s="3" t="s">
        <v>4</v>
      </c>
    </row>
    <row r="2" spans="1:13">
      <c r="A2" s="4" t="s">
        <v>69</v>
      </c>
      <c r="B2" s="4" t="s">
        <v>70</v>
      </c>
      <c r="C2" s="4">
        <f>SUM('Opportunity Data'!$AE$2:$AE$54)</f>
        <v>9</v>
      </c>
      <c r="D2" s="15">
        <f>SUMPRODUCT('Opportunity Data'!$AE$2:$AE$54,'Opportunity Data'!$L$2:$L$54)</f>
        <v>8900000</v>
      </c>
      <c r="E2" s="15">
        <f>SUMPRODUCT('Opportunity Data'!$AE$2:$AE$54,'Opportunity Data'!$M$2:$M$54)</f>
        <v>8900000</v>
      </c>
      <c r="F2" s="4">
        <f>SUMPRODUCT('Opportunity Data'!$AE$2:$AE$54,'Opportunity Data'!$J$2:$J$54)</f>
        <v>9</v>
      </c>
      <c r="G2" s="4">
        <f>SUMPRODUCT('Opportunity Data'!$AE$2:$AE$54,'Opportunity Data'!$I$2:$I$54)</f>
        <v>9</v>
      </c>
      <c r="H2" s="14">
        <f t="shared" ref="H2:H21" si="0">IF(G2=0,"-",F2/G2)</f>
        <v>1</v>
      </c>
      <c r="I2" s="15">
        <f t="shared" ref="I2:I21" si="1">IF(C2=0,"-",D2/C2)</f>
        <v>988888.88888888888</v>
      </c>
      <c r="J2" s="18">
        <f>IF(C2=0,"-",SUMPRODUCT('Opportunity Data'!$AE$2:$AE$54,'Opportunity Data'!$AC$2:$AC$54)/C2)</f>
        <v>91.666666666666671</v>
      </c>
      <c r="K2" s="4">
        <v>9</v>
      </c>
      <c r="L2" s="4" t="str">
        <f t="shared" ref="L2:L21" si="2">IF(C2=K2,"Yes","Check")</f>
        <v>Yes</v>
      </c>
      <c r="M2" s="4"/>
    </row>
    <row r="3" spans="1:13">
      <c r="A3" s="4" t="s">
        <v>91</v>
      </c>
      <c r="B3" s="4" t="s">
        <v>92</v>
      </c>
      <c r="C3" s="4">
        <f>SUM('Opportunity Data'!$AF$2:$AF$54)</f>
        <v>2</v>
      </c>
      <c r="D3" s="15">
        <f>SUMPRODUCT('Opportunity Data'!$AF$2:$AF$54,'Opportunity Data'!$L$2:$L$54)</f>
        <v>2750000</v>
      </c>
      <c r="E3" s="15">
        <f>SUMPRODUCT('Opportunity Data'!$AF$2:$AF$54,'Opportunity Data'!$M$2:$M$54)</f>
        <v>2750000</v>
      </c>
      <c r="F3" s="4">
        <f>SUMPRODUCT('Opportunity Data'!$AF$2:$AF$54,'Opportunity Data'!$J$2:$J$54)</f>
        <v>2</v>
      </c>
      <c r="G3" s="4">
        <f>SUMPRODUCT('Opportunity Data'!$AF$2:$AF$54,'Opportunity Data'!$I$2:$I$54)</f>
        <v>2</v>
      </c>
      <c r="H3" s="14">
        <f t="shared" si="0"/>
        <v>1</v>
      </c>
      <c r="I3" s="15">
        <f t="shared" si="1"/>
        <v>1375000</v>
      </c>
      <c r="J3" s="18">
        <f>IF(C3=0,"-",SUMPRODUCT('Opportunity Data'!$AF$2:$AF$54,'Opportunity Data'!$AC$2:$AC$54)/C3)</f>
        <v>84.5</v>
      </c>
      <c r="K3" s="4">
        <v>2</v>
      </c>
      <c r="L3" s="4" t="str">
        <f t="shared" si="2"/>
        <v>Yes</v>
      </c>
      <c r="M3" s="4"/>
    </row>
    <row r="4" spans="1:13">
      <c r="A4" s="4" t="s">
        <v>101</v>
      </c>
      <c r="B4" s="4" t="s">
        <v>102</v>
      </c>
      <c r="C4" s="4">
        <f>SUM('Opportunity Data'!$AG$2:$AG$54)</f>
        <v>2</v>
      </c>
      <c r="D4" s="15">
        <f>SUMPRODUCT('Opportunity Data'!$AG$2:$AG$54,'Opportunity Data'!$L$2:$L$54)</f>
        <v>2750000</v>
      </c>
      <c r="E4" s="15">
        <f>SUMPRODUCT('Opportunity Data'!$AG$2:$AG$54,'Opportunity Data'!$M$2:$M$54)</f>
        <v>2750000</v>
      </c>
      <c r="F4" s="4">
        <f>SUMPRODUCT('Opportunity Data'!$AG$2:$AG$54,'Opportunity Data'!$J$2:$J$54)</f>
        <v>2</v>
      </c>
      <c r="G4" s="4">
        <f>SUMPRODUCT('Opportunity Data'!$AG$2:$AG$54,'Opportunity Data'!$I$2:$I$54)</f>
        <v>2</v>
      </c>
      <c r="H4" s="14">
        <f t="shared" si="0"/>
        <v>1</v>
      </c>
      <c r="I4" s="15">
        <f t="shared" si="1"/>
        <v>1375000</v>
      </c>
      <c r="J4" s="18">
        <f>IF(C4=0,"-",SUMPRODUCT('Opportunity Data'!$AG$2:$AG$54,'Opportunity Data'!$AC$2:$AC$54)/C4)</f>
        <v>84.5</v>
      </c>
      <c r="K4" s="4">
        <v>2</v>
      </c>
      <c r="L4" s="4" t="str">
        <f t="shared" si="2"/>
        <v>Yes</v>
      </c>
      <c r="M4" s="4"/>
    </row>
    <row r="5" spans="1:13">
      <c r="A5" s="4" t="s">
        <v>108</v>
      </c>
      <c r="B5" s="4" t="s">
        <v>109</v>
      </c>
      <c r="C5" s="4">
        <f>SUM('Opportunity Data'!$AH$2:$AH$54)</f>
        <v>16</v>
      </c>
      <c r="D5" s="15">
        <f>SUMPRODUCT('Opportunity Data'!$AH$2:$AH$54,'Opportunity Data'!$L$2:$L$54)</f>
        <v>16170000</v>
      </c>
      <c r="E5" s="15">
        <f>SUMPRODUCT('Opportunity Data'!$AH$2:$AH$54,'Opportunity Data'!$M$2:$M$54)</f>
        <v>16170000</v>
      </c>
      <c r="F5" s="4">
        <f>SUMPRODUCT('Opportunity Data'!$AH$2:$AH$54,'Opportunity Data'!$J$2:$J$54)</f>
        <v>16</v>
      </c>
      <c r="G5" s="4">
        <f>SUMPRODUCT('Opportunity Data'!$AH$2:$AH$54,'Opportunity Data'!$I$2:$I$54)</f>
        <v>16</v>
      </c>
      <c r="H5" s="14">
        <f t="shared" si="0"/>
        <v>1</v>
      </c>
      <c r="I5" s="15">
        <f t="shared" si="1"/>
        <v>1010625</v>
      </c>
      <c r="J5" s="18">
        <f>IF(C5=0,"-",SUMPRODUCT('Opportunity Data'!$AH$2:$AH$54,'Opportunity Data'!$AC$2:$AC$54)/C5)</f>
        <v>88.9375</v>
      </c>
      <c r="K5" s="4">
        <v>16</v>
      </c>
      <c r="L5" s="4" t="str">
        <f t="shared" si="2"/>
        <v>Yes</v>
      </c>
      <c r="M5" s="4"/>
    </row>
    <row r="6" spans="1:13">
      <c r="A6" s="4" t="s">
        <v>120</v>
      </c>
      <c r="B6" s="4" t="s">
        <v>121</v>
      </c>
      <c r="C6" s="4">
        <f>SUM('Opportunity Data'!$AI$2:$AI$54)</f>
        <v>20</v>
      </c>
      <c r="D6" s="15">
        <f>SUMPRODUCT('Opportunity Data'!$AI$2:$AI$54,'Opportunity Data'!$L$2:$L$54)</f>
        <v>31421000</v>
      </c>
      <c r="E6" s="15">
        <f>SUMPRODUCT('Opportunity Data'!$AI$2:$AI$54,'Opportunity Data'!$M$2:$M$54)</f>
        <v>15224100</v>
      </c>
      <c r="F6" s="4">
        <f>SUMPRODUCT('Opportunity Data'!$AI$2:$AI$54,'Opportunity Data'!$J$2:$J$54)</f>
        <v>0</v>
      </c>
      <c r="G6" s="4">
        <f>SUMPRODUCT('Opportunity Data'!$AI$2:$AI$54,'Opportunity Data'!$I$2:$I$54)</f>
        <v>0</v>
      </c>
      <c r="H6" s="14" t="str">
        <f t="shared" si="0"/>
        <v>-</v>
      </c>
      <c r="I6" s="15">
        <f t="shared" si="1"/>
        <v>1571050</v>
      </c>
      <c r="J6" s="18">
        <f>IF(C6=0,"-",SUMPRODUCT('Opportunity Data'!$AI$2:$AI$54,'Opportunity Data'!$AC$2:$AC$54)/C6)</f>
        <v>51.4</v>
      </c>
      <c r="K6" s="4">
        <v>20</v>
      </c>
      <c r="L6" s="4" t="str">
        <f t="shared" si="2"/>
        <v>Yes</v>
      </c>
      <c r="M6" s="4"/>
    </row>
    <row r="7" spans="1:13">
      <c r="A7" s="4" t="s">
        <v>133</v>
      </c>
      <c r="B7" s="4" t="s">
        <v>134</v>
      </c>
      <c r="C7" s="4">
        <f>SUM('Opportunity Data'!$AJ$2:$AJ$54)</f>
        <v>18</v>
      </c>
      <c r="D7" s="15">
        <f>SUMPRODUCT('Opportunity Data'!$AJ$2:$AJ$54,'Opportunity Data'!$L$2:$L$54)</f>
        <v>30271000</v>
      </c>
      <c r="E7" s="15">
        <f>SUMPRODUCT('Opportunity Data'!$AJ$2:$AJ$54,'Opportunity Data'!$M$2:$M$54)</f>
        <v>14549100</v>
      </c>
      <c r="F7" s="4">
        <f>SUMPRODUCT('Opportunity Data'!$AJ$2:$AJ$54,'Opportunity Data'!$J$2:$J$54)</f>
        <v>0</v>
      </c>
      <c r="G7" s="4">
        <f>SUMPRODUCT('Opportunity Data'!$AJ$2:$AJ$54,'Opportunity Data'!$I$2:$I$54)</f>
        <v>0</v>
      </c>
      <c r="H7" s="14" t="str">
        <f t="shared" si="0"/>
        <v>-</v>
      </c>
      <c r="I7" s="15">
        <f t="shared" si="1"/>
        <v>1681722.2222222222</v>
      </c>
      <c r="J7" s="18">
        <f>IF(C7=0,"-",SUMPRODUCT('Opportunity Data'!$AJ$2:$AJ$54,'Opportunity Data'!$AC$2:$AC$54)/C7)</f>
        <v>42.611111111111114</v>
      </c>
      <c r="K7" s="4">
        <v>18</v>
      </c>
      <c r="L7" s="4" t="str">
        <f t="shared" si="2"/>
        <v>Yes</v>
      </c>
      <c r="M7" s="4"/>
    </row>
    <row r="8" spans="1:13">
      <c r="A8" s="4" t="s">
        <v>143</v>
      </c>
      <c r="B8" s="4" t="s">
        <v>144</v>
      </c>
      <c r="C8" s="4">
        <f>SUM('Opportunity Data'!$AK$2:$AK$54)</f>
        <v>20</v>
      </c>
      <c r="D8" s="15">
        <f>SUMPRODUCT('Opportunity Data'!$AK$2:$AK$54,'Opportunity Data'!$L$2:$L$54)</f>
        <v>31421000</v>
      </c>
      <c r="E8" s="15">
        <f>SUMPRODUCT('Opportunity Data'!$AK$2:$AK$54,'Opportunity Data'!$M$2:$M$54)</f>
        <v>15224100</v>
      </c>
      <c r="F8" s="4">
        <f>SUMPRODUCT('Opportunity Data'!$AK$2:$AK$54,'Opportunity Data'!$J$2:$J$54)</f>
        <v>0</v>
      </c>
      <c r="G8" s="4">
        <f>SUMPRODUCT('Opportunity Data'!$AK$2:$AK$54,'Opportunity Data'!$I$2:$I$54)</f>
        <v>0</v>
      </c>
      <c r="H8" s="14" t="str">
        <f t="shared" si="0"/>
        <v>-</v>
      </c>
      <c r="I8" s="15">
        <f t="shared" si="1"/>
        <v>1571050</v>
      </c>
      <c r="J8" s="18">
        <f>IF(C8=0,"-",SUMPRODUCT('Opportunity Data'!$AK$2:$AK$54,'Opportunity Data'!$AC$2:$AC$54)/C8)</f>
        <v>51.4</v>
      </c>
      <c r="K8" s="4">
        <v>20</v>
      </c>
      <c r="L8" s="4" t="str">
        <f t="shared" si="2"/>
        <v>Yes</v>
      </c>
      <c r="M8" s="4"/>
    </row>
    <row r="9" spans="1:13">
      <c r="A9" s="4" t="s">
        <v>149</v>
      </c>
      <c r="B9" s="4" t="s">
        <v>150</v>
      </c>
      <c r="C9" s="4">
        <f>SUM('Opportunity Data'!$AL$2:$AL$54)</f>
        <v>9</v>
      </c>
      <c r="D9" s="15">
        <f>SUMPRODUCT('Opportunity Data'!$AL$2:$AL$54,'Opportunity Data'!$L$2:$L$54)</f>
        <v>8900000</v>
      </c>
      <c r="E9" s="15">
        <f>SUMPRODUCT('Opportunity Data'!$AL$2:$AL$54,'Opportunity Data'!$M$2:$M$54)</f>
        <v>8900000</v>
      </c>
      <c r="F9" s="4">
        <f>SUMPRODUCT('Opportunity Data'!$AL$2:$AL$54,'Opportunity Data'!$J$2:$J$54)</f>
        <v>9</v>
      </c>
      <c r="G9" s="4">
        <f>SUMPRODUCT('Opportunity Data'!$AL$2:$AL$54,'Opportunity Data'!$I$2:$I$54)</f>
        <v>9</v>
      </c>
      <c r="H9" s="14">
        <f t="shared" si="0"/>
        <v>1</v>
      </c>
      <c r="I9" s="15">
        <f t="shared" si="1"/>
        <v>988888.88888888888</v>
      </c>
      <c r="J9" s="18">
        <f>IF(C9=0,"-",SUMPRODUCT('Opportunity Data'!$AL$2:$AL$54,'Opportunity Data'!$AC$2:$AC$54)/C9)</f>
        <v>91.666666666666671</v>
      </c>
      <c r="K9" s="4">
        <v>9</v>
      </c>
      <c r="L9" s="4" t="str">
        <f t="shared" si="2"/>
        <v>Yes</v>
      </c>
      <c r="M9" s="4"/>
    </row>
    <row r="10" spans="1:13" ht="24.95">
      <c r="A10" s="4" t="s">
        <v>156</v>
      </c>
      <c r="B10" s="4" t="s">
        <v>157</v>
      </c>
      <c r="C10" s="4">
        <f>SUM('Opportunity Data'!$AM$2:$AM$54)</f>
        <v>15</v>
      </c>
      <c r="D10" s="15">
        <f>SUMPRODUCT('Opportunity Data'!$AM$2:$AM$54,'Opportunity Data'!$L$2:$L$54)</f>
        <v>14720000</v>
      </c>
      <c r="E10" s="15">
        <f>SUMPRODUCT('Opportunity Data'!$AM$2:$AM$54,'Opportunity Data'!$M$2:$M$54)</f>
        <v>8900000</v>
      </c>
      <c r="F10" s="4">
        <f>SUMPRODUCT('Opportunity Data'!$AM$2:$AM$54,'Opportunity Data'!$J$2:$J$54)</f>
        <v>9</v>
      </c>
      <c r="G10" s="4">
        <f>SUMPRODUCT('Opportunity Data'!$AM$2:$AM$54,'Opportunity Data'!$I$2:$I$54)</f>
        <v>15</v>
      </c>
      <c r="H10" s="14">
        <f t="shared" si="0"/>
        <v>0.6</v>
      </c>
      <c r="I10" s="15">
        <f t="shared" si="1"/>
        <v>981333.33333333337</v>
      </c>
      <c r="J10" s="18">
        <f>IF(C10=0,"-",SUMPRODUCT('Opportunity Data'!$AM$2:$AM$54,'Opportunity Data'!$AC$2:$AC$54)/C10)</f>
        <v>93.2</v>
      </c>
      <c r="K10" s="4">
        <v>15</v>
      </c>
      <c r="L10" s="4" t="str">
        <f t="shared" si="2"/>
        <v>Yes</v>
      </c>
      <c r="M10" s="4" t="s">
        <v>772</v>
      </c>
    </row>
    <row r="11" spans="1:13">
      <c r="A11" s="4" t="s">
        <v>164</v>
      </c>
      <c r="B11" s="4" t="s">
        <v>165</v>
      </c>
      <c r="C11" s="4">
        <f>SUM('Opportunity Data'!$AN$2:$AN$54)</f>
        <v>15</v>
      </c>
      <c r="D11" s="15">
        <f>SUMPRODUCT('Opportunity Data'!$AN$2:$AN$54,'Opportunity Data'!$L$2:$L$54)</f>
        <v>14720000</v>
      </c>
      <c r="E11" s="15">
        <f>SUMPRODUCT('Opportunity Data'!$AN$2:$AN$54,'Opportunity Data'!$M$2:$M$54)</f>
        <v>8900000</v>
      </c>
      <c r="F11" s="4">
        <f>SUMPRODUCT('Opportunity Data'!$AN$2:$AN$54,'Opportunity Data'!$J$2:$J$54)</f>
        <v>9</v>
      </c>
      <c r="G11" s="4">
        <f>SUMPRODUCT('Opportunity Data'!$AN$2:$AN$54,'Opportunity Data'!$I$2:$I$54)</f>
        <v>15</v>
      </c>
      <c r="H11" s="14">
        <f t="shared" si="0"/>
        <v>0.6</v>
      </c>
      <c r="I11" s="15">
        <f t="shared" si="1"/>
        <v>981333.33333333337</v>
      </c>
      <c r="J11" s="18">
        <f>IF(C11=0,"-",SUMPRODUCT('Opportunity Data'!$AN$2:$AN$54,'Opportunity Data'!$AC$2:$AC$54)/C11)</f>
        <v>93.2</v>
      </c>
      <c r="K11" s="4">
        <v>15</v>
      </c>
      <c r="L11" s="4" t="str">
        <f t="shared" si="2"/>
        <v>Yes</v>
      </c>
      <c r="M11" s="4"/>
    </row>
    <row r="12" spans="1:13">
      <c r="A12" s="4" t="s">
        <v>172</v>
      </c>
      <c r="B12" s="4" t="s">
        <v>173</v>
      </c>
      <c r="C12" s="4">
        <f>SUM('Opportunity Data'!$AO$2:$AO$54)</f>
        <v>9</v>
      </c>
      <c r="D12" s="15">
        <f>SUMPRODUCT('Opportunity Data'!$AO$2:$AO$54,'Opportunity Data'!$L$2:$L$54)</f>
        <v>8900000</v>
      </c>
      <c r="E12" s="15">
        <f>SUMPRODUCT('Opportunity Data'!$AO$2:$AO$54,'Opportunity Data'!$M$2:$M$54)</f>
        <v>8900000</v>
      </c>
      <c r="F12" s="4">
        <f>SUMPRODUCT('Opportunity Data'!$AO$2:$AO$54,'Opportunity Data'!$J$2:$J$54)</f>
        <v>9</v>
      </c>
      <c r="G12" s="4">
        <f>SUMPRODUCT('Opportunity Data'!$AO$2:$AO$54,'Opportunity Data'!$I$2:$I$54)</f>
        <v>9</v>
      </c>
      <c r="H12" s="14">
        <f t="shared" si="0"/>
        <v>1</v>
      </c>
      <c r="I12" s="15">
        <f t="shared" si="1"/>
        <v>988888.88888888888</v>
      </c>
      <c r="J12" s="18">
        <f>IF(C12=0,"-",SUMPRODUCT('Opportunity Data'!$AO$2:$AO$54,'Opportunity Data'!$AC$2:$AC$54)/C12)</f>
        <v>91.666666666666671</v>
      </c>
      <c r="K12" s="4">
        <v>9</v>
      </c>
      <c r="L12" s="4" t="str">
        <f t="shared" si="2"/>
        <v>Yes</v>
      </c>
      <c r="M12" s="4"/>
    </row>
    <row r="13" spans="1:13">
      <c r="A13" s="4" t="s">
        <v>179</v>
      </c>
      <c r="B13" s="4" t="s">
        <v>180</v>
      </c>
      <c r="C13" s="4">
        <f>SUM('Opportunity Data'!$AP$2:$AP$54)</f>
        <v>6</v>
      </c>
      <c r="D13" s="15">
        <f>SUMPRODUCT('Opportunity Data'!$AP$2:$AP$54,'Opportunity Data'!$L$2:$L$54)</f>
        <v>5820000</v>
      </c>
      <c r="E13" s="15">
        <f>SUMPRODUCT('Opportunity Data'!$AP$2:$AP$54,'Opportunity Data'!$M$2:$M$54)</f>
        <v>0</v>
      </c>
      <c r="F13" s="4">
        <f>SUMPRODUCT('Opportunity Data'!$AP$2:$AP$54,'Opportunity Data'!$J$2:$J$54)</f>
        <v>0</v>
      </c>
      <c r="G13" s="4">
        <f>SUMPRODUCT('Opportunity Data'!$AP$2:$AP$54,'Opportunity Data'!$I$2:$I$54)</f>
        <v>6</v>
      </c>
      <c r="H13" s="14">
        <f t="shared" si="0"/>
        <v>0</v>
      </c>
      <c r="I13" s="15">
        <f t="shared" si="1"/>
        <v>970000</v>
      </c>
      <c r="J13" s="18">
        <f>IF(C13=0,"-",SUMPRODUCT('Opportunity Data'!$AP$2:$AP$54,'Opportunity Data'!$AC$2:$AC$54)/C13)</f>
        <v>95.5</v>
      </c>
      <c r="K13" s="4">
        <v>6</v>
      </c>
      <c r="L13" s="4" t="str">
        <f t="shared" si="2"/>
        <v>Yes</v>
      </c>
      <c r="M13" s="4"/>
    </row>
    <row r="14" spans="1:13">
      <c r="A14" s="4" t="s">
        <v>185</v>
      </c>
      <c r="B14" s="4" t="s">
        <v>186</v>
      </c>
      <c r="C14" s="4">
        <f>SUM('Opportunity Data'!$AQ$2:$AQ$54)</f>
        <v>3</v>
      </c>
      <c r="D14" s="15">
        <f>SUMPRODUCT('Opportunity Data'!$AQ$2:$AQ$54,'Opportunity Data'!$L$2:$L$54)</f>
        <v>4700000</v>
      </c>
      <c r="E14" s="15">
        <f>SUMPRODUCT('Opportunity Data'!$AQ$2:$AQ$54,'Opportunity Data'!$M$2:$M$54)</f>
        <v>3540000</v>
      </c>
      <c r="F14" s="4">
        <f>SUMPRODUCT('Opportunity Data'!$AQ$2:$AQ$54,'Opportunity Data'!$J$2:$J$54)</f>
        <v>0</v>
      </c>
      <c r="G14" s="4">
        <f>SUMPRODUCT('Opportunity Data'!$AQ$2:$AQ$54,'Opportunity Data'!$I$2:$I$54)</f>
        <v>0</v>
      </c>
      <c r="H14" s="14" t="str">
        <f t="shared" si="0"/>
        <v>-</v>
      </c>
      <c r="I14" s="15">
        <f t="shared" si="1"/>
        <v>1566666.6666666667</v>
      </c>
      <c r="J14" s="18">
        <f>IF(C14=0,"-",SUMPRODUCT('Opportunity Data'!$AQ$2:$AQ$54,'Opportunity Data'!$AC$2:$AC$54)/C14)</f>
        <v>82.333333333333329</v>
      </c>
      <c r="K14" s="4">
        <v>3</v>
      </c>
      <c r="L14" s="4" t="str">
        <f t="shared" si="2"/>
        <v>Yes</v>
      </c>
      <c r="M14" s="4"/>
    </row>
    <row r="15" spans="1:13">
      <c r="A15" s="4" t="s">
        <v>197</v>
      </c>
      <c r="B15" s="4" t="s">
        <v>198</v>
      </c>
      <c r="C15" s="4">
        <f>SUM('Opportunity Data'!$AR$2:$AR$54)</f>
        <v>2</v>
      </c>
      <c r="D15" s="15">
        <f>SUMPRODUCT('Opportunity Data'!$AR$2:$AR$54,'Opportunity Data'!$L$2:$L$54)</f>
        <v>1150000</v>
      </c>
      <c r="E15" s="15">
        <f>SUMPRODUCT('Opportunity Data'!$AR$2:$AR$54,'Opportunity Data'!$M$2:$M$54)</f>
        <v>675000</v>
      </c>
      <c r="F15" s="4">
        <f>SUMPRODUCT('Opportunity Data'!$AR$2:$AR$54,'Opportunity Data'!$J$2:$J$54)</f>
        <v>0</v>
      </c>
      <c r="G15" s="4">
        <f>SUMPRODUCT('Opportunity Data'!$AR$2:$AR$54,'Opportunity Data'!$I$2:$I$54)</f>
        <v>0</v>
      </c>
      <c r="H15" s="14" t="str">
        <f t="shared" si="0"/>
        <v>-</v>
      </c>
      <c r="I15" s="15">
        <f t="shared" si="1"/>
        <v>575000</v>
      </c>
      <c r="J15" s="18">
        <f>IF(C15=0,"-",SUMPRODUCT('Opportunity Data'!$AR$2:$AR$54,'Opportunity Data'!$AC$2:$AC$54)/C15)</f>
        <v>130.5</v>
      </c>
      <c r="K15" s="4">
        <v>2</v>
      </c>
      <c r="L15" s="4" t="str">
        <f t="shared" si="2"/>
        <v>Yes</v>
      </c>
      <c r="M15" s="4"/>
    </row>
    <row r="16" spans="1:13">
      <c r="A16" s="4" t="s">
        <v>206</v>
      </c>
      <c r="B16" s="4" t="s">
        <v>207</v>
      </c>
      <c r="C16" s="4">
        <f>SUM('Opportunity Data'!$AS$2:$AS$54)</f>
        <v>5</v>
      </c>
      <c r="D16" s="15">
        <f>SUMPRODUCT('Opportunity Data'!$AS$2:$AS$54,'Opportunity Data'!$L$2:$L$54)</f>
        <v>11500000</v>
      </c>
      <c r="E16" s="15">
        <f>SUMPRODUCT('Opportunity Data'!$AS$2:$AS$54,'Opportunity Data'!$M$2:$M$54)</f>
        <v>0</v>
      </c>
      <c r="F16" s="4">
        <f>SUMPRODUCT('Opportunity Data'!$AS$2:$AS$54,'Opportunity Data'!$J$2:$J$54)</f>
        <v>0</v>
      </c>
      <c r="G16" s="4">
        <f>SUMPRODUCT('Opportunity Data'!$AS$2:$AS$54,'Opportunity Data'!$I$2:$I$54)</f>
        <v>0</v>
      </c>
      <c r="H16" s="14" t="str">
        <f t="shared" si="0"/>
        <v>-</v>
      </c>
      <c r="I16" s="15">
        <f t="shared" si="1"/>
        <v>2300000</v>
      </c>
      <c r="J16" s="18">
        <f>IF(C16=0,"-",SUMPRODUCT('Opportunity Data'!$AS$2:$AS$54,'Opportunity Data'!$AC$2:$AC$54)/C16)</f>
        <v>32</v>
      </c>
      <c r="K16" s="4">
        <v>5</v>
      </c>
      <c r="L16" s="4" t="str">
        <f t="shared" si="2"/>
        <v>Yes</v>
      </c>
      <c r="M16" s="4"/>
    </row>
    <row r="17" spans="1:13">
      <c r="A17" s="4" t="s">
        <v>213</v>
      </c>
      <c r="B17" s="4" t="s">
        <v>214</v>
      </c>
      <c r="C17" s="4">
        <f>SUM('Opportunity Data'!$AT$2:$AT$54)</f>
        <v>22</v>
      </c>
      <c r="D17" s="15">
        <f>SUMPRODUCT('Opportunity Data'!$AT$2:$AT$54,'Opportunity Data'!$L$2:$L$54)</f>
        <v>29821000</v>
      </c>
      <c r="E17" s="15">
        <f>SUMPRODUCT('Opportunity Data'!$AT$2:$AT$54,'Opportunity Data'!$M$2:$M$54)</f>
        <v>18554100</v>
      </c>
      <c r="F17" s="4">
        <f>SUMPRODUCT('Opportunity Data'!$AT$2:$AT$54,'Opportunity Data'!$J$2:$J$54)</f>
        <v>9</v>
      </c>
      <c r="G17" s="4">
        <f>SUMPRODUCT('Opportunity Data'!$AT$2:$AT$54,'Opportunity Data'!$I$2:$I$54)</f>
        <v>9</v>
      </c>
      <c r="H17" s="14">
        <f t="shared" si="0"/>
        <v>1</v>
      </c>
      <c r="I17" s="15">
        <f t="shared" si="1"/>
        <v>1355500</v>
      </c>
      <c r="J17" s="18">
        <f>IF(C17=0,"-",SUMPRODUCT('Opportunity Data'!$AT$2:$AT$54,'Opportunity Data'!$AC$2:$AC$54)/C17)</f>
        <v>77.454545454545453</v>
      </c>
      <c r="K17" s="4">
        <v>22</v>
      </c>
      <c r="L17" s="4" t="str">
        <f t="shared" si="2"/>
        <v>Yes</v>
      </c>
      <c r="M17" s="4"/>
    </row>
    <row r="18" spans="1:13">
      <c r="A18" s="4" t="s">
        <v>222</v>
      </c>
      <c r="B18" s="4" t="s">
        <v>223</v>
      </c>
      <c r="C18" s="4">
        <f>SUM('Opportunity Data'!$AU$2:$AU$54)</f>
        <v>9</v>
      </c>
      <c r="D18" s="15">
        <f>SUMPRODUCT('Opportunity Data'!$AU$2:$AU$54,'Opportunity Data'!$L$2:$L$54)</f>
        <v>8900000</v>
      </c>
      <c r="E18" s="15">
        <f>SUMPRODUCT('Opportunity Data'!$AU$2:$AU$54,'Opportunity Data'!$M$2:$M$54)</f>
        <v>8900000</v>
      </c>
      <c r="F18" s="4">
        <f>SUMPRODUCT('Opportunity Data'!$AU$2:$AU$54,'Opportunity Data'!$J$2:$J$54)</f>
        <v>9</v>
      </c>
      <c r="G18" s="4">
        <f>SUMPRODUCT('Opportunity Data'!$AU$2:$AU$54,'Opportunity Data'!$I$2:$I$54)</f>
        <v>9</v>
      </c>
      <c r="H18" s="14">
        <f t="shared" si="0"/>
        <v>1</v>
      </c>
      <c r="I18" s="15">
        <f t="shared" si="1"/>
        <v>988888.88888888888</v>
      </c>
      <c r="J18" s="18">
        <f>IF(C18=0,"-",SUMPRODUCT('Opportunity Data'!$AU$2:$AU$54,'Opportunity Data'!$AC$2:$AC$54)/C18)</f>
        <v>91.666666666666671</v>
      </c>
      <c r="K18" s="4">
        <v>9</v>
      </c>
      <c r="L18" s="4" t="str">
        <f t="shared" si="2"/>
        <v>Yes</v>
      </c>
      <c r="M18" s="4"/>
    </row>
    <row r="19" spans="1:13">
      <c r="A19" s="4" t="s">
        <v>230</v>
      </c>
      <c r="B19" s="4" t="s">
        <v>231</v>
      </c>
      <c r="C19" s="4">
        <f>SUM('Opportunity Data'!$AV$2:$AV$54)</f>
        <v>9</v>
      </c>
      <c r="D19" s="15">
        <f>SUMPRODUCT('Opportunity Data'!$AV$2:$AV$54,'Opportunity Data'!$L$2:$L$54)</f>
        <v>8900000</v>
      </c>
      <c r="E19" s="15">
        <f>SUMPRODUCT('Opportunity Data'!$AV$2:$AV$54,'Opportunity Data'!$M$2:$M$54)</f>
        <v>8900000</v>
      </c>
      <c r="F19" s="4">
        <f>SUMPRODUCT('Opportunity Data'!$AV$2:$AV$54,'Opportunity Data'!$J$2:$J$54)</f>
        <v>9</v>
      </c>
      <c r="G19" s="4">
        <f>SUMPRODUCT('Opportunity Data'!$AV$2:$AV$54,'Opportunity Data'!$I$2:$I$54)</f>
        <v>9</v>
      </c>
      <c r="H19" s="14">
        <f t="shared" si="0"/>
        <v>1</v>
      </c>
      <c r="I19" s="15">
        <f t="shared" si="1"/>
        <v>988888.88888888888</v>
      </c>
      <c r="J19" s="18">
        <f>IF(C19=0,"-",SUMPRODUCT('Opportunity Data'!$AV$2:$AV$54,'Opportunity Data'!$AC$2:$AC$54)/C19)</f>
        <v>91.666666666666671</v>
      </c>
      <c r="K19" s="4">
        <v>9</v>
      </c>
      <c r="L19" s="4" t="str">
        <f t="shared" si="2"/>
        <v>Yes</v>
      </c>
      <c r="M19" s="4"/>
    </row>
    <row r="20" spans="1:13">
      <c r="A20" s="4" t="s">
        <v>238</v>
      </c>
      <c r="B20" s="4" t="s">
        <v>239</v>
      </c>
      <c r="C20" s="4">
        <f>SUM('Opportunity Data'!$AW$2:$AW$54)</f>
        <v>1</v>
      </c>
      <c r="D20" s="15">
        <f>SUMPRODUCT('Opportunity Data'!$AW$2:$AW$54,'Opportunity Data'!$L$2:$L$54)</f>
        <v>3000000</v>
      </c>
      <c r="E20" s="15">
        <f>SUMPRODUCT('Opportunity Data'!$AW$2:$AW$54,'Opportunity Data'!$M$2:$M$54)</f>
        <v>300000</v>
      </c>
      <c r="F20" s="4">
        <f>SUMPRODUCT('Opportunity Data'!$AW$2:$AW$54,'Opportunity Data'!$J$2:$J$54)</f>
        <v>0</v>
      </c>
      <c r="G20" s="4">
        <f>SUMPRODUCT('Opportunity Data'!$AW$2:$AW$54,'Opportunity Data'!$I$2:$I$54)</f>
        <v>0</v>
      </c>
      <c r="H20" s="14" t="str">
        <f t="shared" si="0"/>
        <v>-</v>
      </c>
      <c r="I20" s="15">
        <f t="shared" si="1"/>
        <v>3000000</v>
      </c>
      <c r="J20" s="18">
        <f>IF(C20=0,"-",SUMPRODUCT('Opportunity Data'!$AW$2:$AW$54,'Opportunity Data'!$AC$2:$AC$54)/C20)</f>
        <v>25</v>
      </c>
      <c r="K20" s="4">
        <v>1</v>
      </c>
      <c r="L20" s="4" t="str">
        <f t="shared" si="2"/>
        <v>Yes</v>
      </c>
      <c r="M20" s="4"/>
    </row>
    <row r="21" spans="1:13" ht="24.95">
      <c r="A21" s="4" t="s">
        <v>245</v>
      </c>
      <c r="B21" s="4" t="s">
        <v>246</v>
      </c>
      <c r="C21" s="4">
        <f>SUM('Opportunity Data'!$AX$2:$AX$54)</f>
        <v>10</v>
      </c>
      <c r="D21" s="15">
        <f>SUMPRODUCT('Opportunity Data'!$AX$2:$AX$54,'Opportunity Data'!$L$2:$L$54)</f>
        <v>9650000</v>
      </c>
      <c r="E21" s="15">
        <f>SUMPRODUCT('Opportunity Data'!$AX$2:$AX$54,'Opportunity Data'!$M$2:$M$54)</f>
        <v>9650000</v>
      </c>
      <c r="F21" s="4">
        <f>SUMPRODUCT('Opportunity Data'!$AX$2:$AX$54,'Opportunity Data'!$J$2:$J$54)</f>
        <v>10</v>
      </c>
      <c r="G21" s="4">
        <f>SUMPRODUCT('Opportunity Data'!$AX$2:$AX$54,'Opportunity Data'!$I$2:$I$54)</f>
        <v>10</v>
      </c>
      <c r="H21" s="14">
        <f t="shared" si="0"/>
        <v>1</v>
      </c>
      <c r="I21" s="15">
        <f t="shared" si="1"/>
        <v>965000</v>
      </c>
      <c r="J21" s="18">
        <f>IF(C21=0,"-",SUMPRODUCT('Opportunity Data'!$AX$2:$AX$54,'Opportunity Data'!$AC$2:$AC$54)/C21)</f>
        <v>93.7</v>
      </c>
      <c r="K21" s="4">
        <v>10</v>
      </c>
      <c r="L21" s="4" t="str">
        <f t="shared" si="2"/>
        <v>Yes</v>
      </c>
      <c r="M21" s="4" t="s">
        <v>773</v>
      </c>
    </row>
    <row r="23" spans="1:13" ht="45" customHeight="1">
      <c r="A23" s="9" t="s">
        <v>774</v>
      </c>
      <c r="B23" s="19" t="s">
        <v>775</v>
      </c>
      <c r="C23" s="20"/>
      <c r="D23" s="20"/>
      <c r="E23" s="20"/>
      <c r="F23" s="20"/>
      <c r="G23" s="20"/>
      <c r="H23" s="20"/>
    </row>
  </sheetData>
  <mergeCells count="1">
    <mergeCell ref="B23:H23"/>
  </mergeCell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"/>
  <sheetViews>
    <sheetView zoomScale="90" workbookViewId="0"/>
  </sheetViews>
  <sheetFormatPr defaultRowHeight="14.45"/>
  <cols>
    <col min="1" max="2" width="28" customWidth="1"/>
    <col min="3" max="3" width="16" customWidth="1"/>
    <col min="4" max="4" width="44" customWidth="1"/>
    <col min="5" max="5" width="90" customWidth="1"/>
  </cols>
  <sheetData>
    <row r="1" spans="1:5" ht="30" customHeight="1">
      <c r="A1" s="3" t="s">
        <v>408</v>
      </c>
      <c r="B1" s="3" t="s">
        <v>407</v>
      </c>
      <c r="C1" s="3" t="s">
        <v>776</v>
      </c>
      <c r="D1" s="3" t="s">
        <v>777</v>
      </c>
      <c r="E1" s="3" t="s">
        <v>778</v>
      </c>
    </row>
    <row r="2" spans="1:5" ht="50.1">
      <c r="A2" s="4" t="s">
        <v>779</v>
      </c>
      <c r="B2" s="4" t="s">
        <v>780</v>
      </c>
      <c r="C2" s="4" t="s">
        <v>781</v>
      </c>
      <c r="D2" s="4" t="s">
        <v>782</v>
      </c>
      <c r="E2" s="4" t="s">
        <v>783</v>
      </c>
    </row>
    <row r="3" spans="1:5" ht="50.1">
      <c r="A3" s="4" t="s">
        <v>784</v>
      </c>
      <c r="B3" s="4" t="s">
        <v>785</v>
      </c>
      <c r="C3" s="4" t="s">
        <v>781</v>
      </c>
      <c r="D3" s="4" t="s">
        <v>786</v>
      </c>
      <c r="E3" s="4" t="s">
        <v>787</v>
      </c>
    </row>
    <row r="4" spans="1:5">
      <c r="A4" s="4" t="s">
        <v>422</v>
      </c>
      <c r="B4" s="4" t="s">
        <v>788</v>
      </c>
      <c r="C4" s="4" t="s">
        <v>789</v>
      </c>
      <c r="D4" s="4" t="s">
        <v>782</v>
      </c>
      <c r="E4" s="4" t="s">
        <v>790</v>
      </c>
    </row>
    <row r="5" spans="1:5">
      <c r="A5" s="4"/>
      <c r="B5" s="4"/>
      <c r="C5" s="4"/>
      <c r="D5" s="4"/>
      <c r="E5" s="4"/>
    </row>
    <row r="6" spans="1:5" ht="37.5">
      <c r="A6" s="4" t="s">
        <v>791</v>
      </c>
      <c r="B6" s="4"/>
      <c r="C6" s="4"/>
      <c r="D6" s="4" t="s">
        <v>792</v>
      </c>
      <c r="E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Suraj OD</cp:lastModifiedBy>
  <cp:revision/>
  <dcterms:created xsi:type="dcterms:W3CDTF">2026-10-08T07:02:48Z</dcterms:created>
  <dcterms:modified xsi:type="dcterms:W3CDTF">2026-10-08T08:10:07Z</dcterms:modified>
  <cp:category/>
  <cp:contentStatus/>
</cp:coreProperties>
</file>